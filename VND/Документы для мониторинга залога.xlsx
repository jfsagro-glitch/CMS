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showInkAnnotation="0" defaultThemeVersion="124226"/>
  <mc:AlternateContent xmlns:mc="http://schemas.openxmlformats.org/markup-compatibility/2006">
    <mc:Choice Requires="x15">
      <x15ac:absPath xmlns:x15ac="http://schemas.microsoft.com/office/spreadsheetml/2010/11/ac" url="C:\Users\79184.WIN-OOR1JAM5834\carshop-bot\CMS\VND\"/>
    </mc:Choice>
  </mc:AlternateContent>
  <xr:revisionPtr revIDLastSave="0" documentId="8_{FCC6F462-CD81-4552-8B04-F05B0425A947}" xr6:coauthVersionLast="47" xr6:coauthVersionMax="47" xr10:uidLastSave="{00000000-0000-0000-0000-000000000000}"/>
  <bookViews>
    <workbookView xWindow="-108" yWindow="-108" windowWidth="23256" windowHeight="12576" xr2:uid="{00000000-000D-0000-FFFF-FFFF00000000}"/>
  </bookViews>
  <sheets>
    <sheet name="НДИ" sheetId="2" r:id="rId1"/>
    <sheet name="ДИ" sheetId="5" r:id="rId2"/>
    <sheet name="ТМЦ" sheetId="6" r:id="rId3"/>
    <sheet name="Доли_акции_бизнес_ИК" sheetId="13" r:id="rId4"/>
    <sheet name="Арендный план" sheetId="7" r:id="rId5"/>
    <sheet name="Расходы" sheetId="9" r:id="rId6"/>
    <sheet name="Данные по гостинице" sheetId="11" r:id="rId7"/>
  </sheets>
  <externalReferences>
    <externalReference r:id="rId8"/>
    <externalReference r:id="rId9"/>
  </externalReferences>
  <definedNames>
    <definedName name="_Order1" hidden="1">0</definedName>
    <definedName name="_xlnm._FilterDatabase" localSheetId="3" hidden="1">Доли_акции_бизнес_ИК!$A$8:$G$13</definedName>
    <definedName name="DATA_03" localSheetId="3" hidden="1">'[1]Экономические расчеты Род'!#REF!</definedName>
    <definedName name="DATA_03" hidden="1">'[1]Экономические расчеты Род'!#REF!</definedName>
    <definedName name="DATA_05" localSheetId="3" hidden="1">'[1]Экономические расчеты Род'!#REF!</definedName>
    <definedName name="DATA_05" hidden="1">'[1]Экономические расчеты Род'!#REF!</definedName>
    <definedName name="DATA_08" localSheetId="3" hidden="1">'[1]Экономические расчеты Род'!#REF!</definedName>
    <definedName name="DATA_08" hidden="1">'[1]Экономические расчеты Род'!#REF!</definedName>
    <definedName name="IntroPrintArea" localSheetId="3" hidden="1">#REF!</definedName>
    <definedName name="IntroPrintArea" hidden="1">#REF!</definedName>
    <definedName name="q" hidden="1">{"Inflation-BaseYear",#N/A,FALSE,"Inputs"}</definedName>
    <definedName name="qqq" hidden="1">{"Output-3Column",#N/A,FALSE,"Output"}</definedName>
    <definedName name="qqqqqq" hidden="1">{"Output-BaseYear",#N/A,FALSE,"Output"}</definedName>
    <definedName name="wrn.Inputs." hidden="1">{"Inflation-BaseYear",#N/A,FALSE,"Inputs"}</definedName>
    <definedName name="wrn.Output3Column." hidden="1">{"Output-3Column",#N/A,FALSE,"Output"}</definedName>
    <definedName name="wrn.OutputAll." hidden="1">{"Output-All",#N/A,FALSE,"Output"}</definedName>
    <definedName name="wrn.OutputBaseYear." hidden="1">{"Output-BaseYear",#N/A,FALSE,"Output"}</definedName>
    <definedName name="wrn.OutputMin." hidden="1">{"Output-Min",#N/A,FALSE,"Output"}</definedName>
    <definedName name="wrn.OutputPercent." hidden="1">{"Output%",#N/A,FALSE,"Output"}</definedName>
    <definedName name="xx" hidden="1">{"Output-Min",#N/A,FALSE,"Output"}</definedName>
    <definedName name="xxxaa" hidden="1">{"Inflation-BaseYear",#N/A,FALSE,"Inputs"}</definedName>
    <definedName name="xxxxx" hidden="1">{"Output%",#N/A,FALSE,"Output"}</definedName>
    <definedName name="ар_ставка_офис" hidden="1">{"Inflation-BaseYear",#N/A,FALSE,"Inputs"}</definedName>
    <definedName name="Признаки">'[2]Входные данные'!$C$87:$C$90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5" i="7" l="1"/>
  <c r="H35" i="7"/>
  <c r="H26" i="7"/>
  <c r="N17" i="7"/>
  <c r="H17" i="7"/>
  <c r="H9" i="7"/>
  <c r="M31" i="7"/>
  <c r="N31" i="7" s="1"/>
  <c r="Q31" i="7" s="1"/>
  <c r="Q35" i="7" s="1"/>
  <c r="M22" i="7"/>
  <c r="N22" i="7" s="1"/>
  <c r="Q22" i="7" s="1"/>
  <c r="Q26" i="7" s="1"/>
  <c r="M13" i="7"/>
  <c r="N13" i="7" s="1"/>
  <c r="Q13" i="7" s="1"/>
  <c r="Q17" i="7" s="1"/>
  <c r="M5" i="7"/>
  <c r="N5" i="7" s="1"/>
  <c r="N9" i="7" l="1"/>
  <c r="Q5" i="7"/>
  <c r="Q9" i="7" s="1"/>
  <c r="N26" i="7"/>
  <c r="B13" i="11"/>
  <c r="B5" i="11"/>
  <c r="C13" i="11"/>
  <c r="C5" i="11"/>
  <c r="C28" i="11" s="1"/>
  <c r="D28" i="11"/>
  <c r="D13" i="11"/>
  <c r="D5" i="11"/>
  <c r="F13" i="11"/>
  <c r="F5" i="11"/>
  <c r="E13" i="11"/>
  <c r="E5" i="11"/>
  <c r="B28" i="11" l="1"/>
  <c r="F28" i="11"/>
  <c r="F29" i="11" s="1"/>
  <c r="E28" i="11"/>
  <c r="O41" i="9" l="1"/>
  <c r="O6" i="9"/>
  <c r="N37" i="9" l="1"/>
  <c r="M37" i="9"/>
  <c r="L37" i="9"/>
  <c r="K37" i="9"/>
  <c r="J37" i="9"/>
  <c r="I37" i="9"/>
  <c r="H37" i="9"/>
  <c r="G37" i="9"/>
  <c r="F37" i="9"/>
  <c r="N31" i="9"/>
  <c r="M31" i="9"/>
  <c r="L31" i="9"/>
  <c r="K31" i="9"/>
  <c r="J31" i="9"/>
  <c r="I31" i="9"/>
  <c r="H31" i="9"/>
  <c r="G31" i="9"/>
  <c r="F31" i="9"/>
  <c r="N28" i="9"/>
  <c r="M28" i="9"/>
  <c r="L28" i="9"/>
  <c r="K28" i="9"/>
  <c r="J28" i="9"/>
  <c r="I28" i="9"/>
  <c r="H28" i="9"/>
  <c r="G28" i="9"/>
  <c r="F28" i="9"/>
  <c r="N25" i="9"/>
  <c r="M25" i="9"/>
  <c r="L25" i="9"/>
  <c r="K25" i="9"/>
  <c r="J25" i="9"/>
  <c r="I25" i="9"/>
  <c r="H25" i="9"/>
  <c r="G25" i="9"/>
  <c r="F25" i="9"/>
  <c r="N16" i="9"/>
  <c r="M16" i="9"/>
  <c r="L16" i="9"/>
  <c r="K16" i="9"/>
  <c r="J16" i="9"/>
  <c r="I16" i="9"/>
  <c r="H16" i="9"/>
  <c r="G16" i="9"/>
  <c r="F16" i="9"/>
  <c r="N7" i="9"/>
  <c r="M7" i="9"/>
  <c r="L7" i="9"/>
  <c r="K7" i="9"/>
  <c r="J7" i="9"/>
  <c r="I7" i="9"/>
  <c r="H7" i="9"/>
  <c r="G7" i="9"/>
  <c r="F7" i="9"/>
  <c r="D37" i="9"/>
  <c r="C37" i="9"/>
  <c r="O37" i="9" s="1"/>
  <c r="D31" i="9"/>
  <c r="C31" i="9"/>
  <c r="D28" i="9"/>
  <c r="C28" i="9"/>
  <c r="O28" i="9" s="1"/>
  <c r="D25" i="9"/>
  <c r="C25" i="9"/>
  <c r="D16" i="9"/>
  <c r="C16" i="9"/>
  <c r="O16" i="9" s="1"/>
  <c r="D7" i="9"/>
  <c r="C7" i="9"/>
  <c r="E37" i="9"/>
  <c r="E31" i="9"/>
  <c r="E28" i="9"/>
  <c r="E25" i="9"/>
  <c r="E16" i="9"/>
  <c r="E7" i="9"/>
  <c r="E42" i="9" l="1"/>
  <c r="O7" i="9"/>
  <c r="O25" i="9"/>
  <c r="O31" i="9"/>
  <c r="F42" i="9"/>
  <c r="J42" i="9"/>
  <c r="N42" i="9"/>
  <c r="I42" i="9"/>
  <c r="M42" i="9"/>
  <c r="H42" i="9"/>
  <c r="L42" i="9"/>
  <c r="G42" i="9"/>
  <c r="O42" i="9"/>
  <c r="K42" i="9"/>
  <c r="C42" i="9"/>
  <c r="D42" i="9"/>
</calcChain>
</file>

<file path=xl/sharedStrings.xml><?xml version="1.0" encoding="utf-8"?>
<sst xmlns="http://schemas.openxmlformats.org/spreadsheetml/2006/main" count="572" uniqueCount="286">
  <si>
    <t>Перечень документов</t>
  </si>
  <si>
    <t>Цель предоставления</t>
  </si>
  <si>
    <t>Обязательно</t>
  </si>
  <si>
    <t>Комментарии</t>
  </si>
  <si>
    <t>1. Перечень документов, необходимых для мониторинга залога недвижимого имущества</t>
  </si>
  <si>
    <t>3. Перечень документов, необходимых для мониторинга залога товаров в обороте</t>
  </si>
  <si>
    <t>Установление количественных и качественных характеристик зданий и сооружений, выявление несанкционированных изменений объемно-планировочных параметров и связанных с этим рисков. Однозначная  идентификация местоположения объекта (-ов) на земельном участке,  в т.ч. его расположение  среди совокупности прочих объектов, расположенных  на земельном участке. Проверка соответствия фактических данных с описанием предмета залога в Договоре ипотеки</t>
  </si>
  <si>
    <t>Выявление факторов, оказывающих влияние на ликвидность и оценочную стоимость объекта залога (ограничений в использовании, обязательств по проведению реставрационных работ и др.)</t>
  </si>
  <si>
    <t>Идентификация предмета залога, выявление несоответствий назначения и фактического использования и связанных с этим рисков. Проверка соответствия фактических данных с описанием предмета залога в Договоре ипотеки</t>
  </si>
  <si>
    <t>Установление фактического адреса местонахождения объекта залога, основания, условий и сроков его нахождения по данному адресу. Проверка соответствия фактических данных с адресом местонахождения предмета залога в Договоре залога</t>
  </si>
  <si>
    <t>При необходимости по требованию ПМЗ</t>
  </si>
  <si>
    <t>4.4 Таблица для заполнения  по реестру договоров аренды или арендному плану</t>
  </si>
  <si>
    <t>№</t>
  </si>
  <si>
    <t>Юр. лицо</t>
  </si>
  <si>
    <t>Арендатор</t>
  </si>
  <si>
    <t>Профиль/назначение</t>
  </si>
  <si>
    <t>Номер договора</t>
  </si>
  <si>
    <t>Дата договора</t>
  </si>
  <si>
    <t>№ пом</t>
  </si>
  <si>
    <t>Площадь, кв. м</t>
  </si>
  <si>
    <t>Базовая арендная ставка, $/ кв. м в год</t>
  </si>
  <si>
    <t>Экспл. платежи, $/ кв. м в год</t>
  </si>
  <si>
    <t>% с оборота</t>
  </si>
  <si>
    <t>Индексация, % в год</t>
  </si>
  <si>
    <t>Срок аренды, лет</t>
  </si>
  <si>
    <t>Базовая арендная ставка, у.е./ кв. м в год</t>
  </si>
  <si>
    <t>Экспл. платежи, у.е./ кв. м в год</t>
  </si>
  <si>
    <t>Всего арендная ставка, у.е./ кв. м, в 1-ый год</t>
  </si>
  <si>
    <t>Доход за, 1-ый год, у.е.</t>
  </si>
  <si>
    <t>Базовая арендная ставка, euro/ кв. м в год</t>
  </si>
  <si>
    <t>Экспл. платежи, euro/ кв. м в год</t>
  </si>
  <si>
    <t>Всего арендная ставка, euro/ кв. м, в 1-ый год</t>
  </si>
  <si>
    <t>Доход за, 1-ый год, euro</t>
  </si>
  <si>
    <t>Базовая арендная ставка, руб./ кв. м в год</t>
  </si>
  <si>
    <t>Экспл. платежи, руб./ кв. м в год</t>
  </si>
  <si>
    <t>Всего арендная ставка, руб./ кв. м, в 1-ый год</t>
  </si>
  <si>
    <t>Доход за, 1-ый год, руб.</t>
  </si>
  <si>
    <t>Бюджет затрат на эксплуатацию здания</t>
  </si>
  <si>
    <t>№ п/п</t>
  </si>
  <si>
    <t>Наименование статей</t>
  </si>
  <si>
    <t>Техническое обслуживание и уборка</t>
  </si>
  <si>
    <t>2.1</t>
  </si>
  <si>
    <t>Лифтов</t>
  </si>
  <si>
    <t>2.2</t>
  </si>
  <si>
    <t>Вывоз и утилизация ламп</t>
  </si>
  <si>
    <t>2.3</t>
  </si>
  <si>
    <t>Санитарный паспорт</t>
  </si>
  <si>
    <t>2.4</t>
  </si>
  <si>
    <t xml:space="preserve">уборка общих зон (клининговая компания) </t>
  </si>
  <si>
    <t>2.5</t>
  </si>
  <si>
    <t>Дезинфекция и дератизация</t>
  </si>
  <si>
    <t>2.6</t>
  </si>
  <si>
    <t>Вывоз мусора</t>
  </si>
  <si>
    <t>2.7</t>
  </si>
  <si>
    <t>Вывоз снега</t>
  </si>
  <si>
    <t>2.8</t>
  </si>
  <si>
    <t>Мойка остекления</t>
  </si>
  <si>
    <t>Обеспечение службы эксплуатации</t>
  </si>
  <si>
    <t>3.1</t>
  </si>
  <si>
    <t>Оборудование</t>
  </si>
  <si>
    <t>3.2</t>
  </si>
  <si>
    <t>Инструмент</t>
  </si>
  <si>
    <t>3.3</t>
  </si>
  <si>
    <t>Спецодежда</t>
  </si>
  <si>
    <t>3.4</t>
  </si>
  <si>
    <t>Материалы для ремонта и обслуживания</t>
  </si>
  <si>
    <t>3.5</t>
  </si>
  <si>
    <t>Расходные материалы для уборки</t>
  </si>
  <si>
    <t>3.6</t>
  </si>
  <si>
    <t>Лицензии</t>
  </si>
  <si>
    <t>3.7</t>
  </si>
  <si>
    <t>Обучение сотрудников</t>
  </si>
  <si>
    <t>Литература (техническая)</t>
  </si>
  <si>
    <t>Реклама и информация</t>
  </si>
  <si>
    <t>4.1</t>
  </si>
  <si>
    <t>Реклама в прессе</t>
  </si>
  <si>
    <t>4.2</t>
  </si>
  <si>
    <t>Реклама в интернете</t>
  </si>
  <si>
    <t>Прочие</t>
  </si>
  <si>
    <t>5.1</t>
  </si>
  <si>
    <t>Незапланированные</t>
  </si>
  <si>
    <t>5.2</t>
  </si>
  <si>
    <t>Охрана</t>
  </si>
  <si>
    <t>Коммунальные</t>
  </si>
  <si>
    <t>6.1</t>
  </si>
  <si>
    <t xml:space="preserve">электроэнергия </t>
  </si>
  <si>
    <t>6.2</t>
  </si>
  <si>
    <t>Отопление и горяч. вода</t>
  </si>
  <si>
    <t>6.3</t>
  </si>
  <si>
    <t>Водоснабжение, канализация</t>
  </si>
  <si>
    <t>6.4</t>
  </si>
  <si>
    <t>Очистка воды</t>
  </si>
  <si>
    <t>6.5</t>
  </si>
  <si>
    <t>Сброс загрязняющих в-в (водосбыт)</t>
  </si>
  <si>
    <t>Налогообложение</t>
  </si>
  <si>
    <t>7.1</t>
  </si>
  <si>
    <t>Налог с з/пл.</t>
  </si>
  <si>
    <t>7.2</t>
  </si>
  <si>
    <t>Налог на имущество</t>
  </si>
  <si>
    <t>7.3</t>
  </si>
  <si>
    <t>Плата за землю</t>
  </si>
  <si>
    <t xml:space="preserve">Страхование </t>
  </si>
  <si>
    <t>ОБЩИЕ РАСХОДЫ</t>
  </si>
  <si>
    <t>Генеральный директор ООО "__________________"</t>
  </si>
  <si>
    <t>Периоды (месяцы)</t>
  </si>
  <si>
    <t>год</t>
  </si>
  <si>
    <t>ИТОГО</t>
  </si>
  <si>
    <t>Расходы в период, руб. с НДС</t>
  </si>
  <si>
    <t>Заработная плата обслуживающего персонала и службы управления зданием</t>
  </si>
  <si>
    <t>3.8</t>
  </si>
  <si>
    <t>Обязательность предоставления при передаче на Мониторинг</t>
  </si>
  <si>
    <t>Обязательность предоставления при Плановом мониторинге</t>
  </si>
  <si>
    <t>Поступления от операционной деятельности</t>
  </si>
  <si>
    <t>Поступления от номерного фонда</t>
  </si>
  <si>
    <t>кол-во дней</t>
  </si>
  <si>
    <t>кол-во номеров</t>
  </si>
  <si>
    <t>Выплаты по операционной деятельности</t>
  </si>
  <si>
    <t>Оплата расходов номерного фонда</t>
  </si>
  <si>
    <t>Administrative&amp;General включают:
- з/п административного и управленческого состава (менеджеры, секретарь, водитель, бухгалтерия, финансовый и юридические отделы, отдел закупок и снабжения, отдел финансового контроля, отдел кадров, охрана…); 
-канцелярские</t>
  </si>
  <si>
    <t xml:space="preserve">Отдел продаж и маркетинг (Sales&amp;Marketing) включает:
- заработная плата;
- реклама.
</t>
  </si>
  <si>
    <t>Техническое обслуживание и эксплуатация - включает:
- з/п инженерных служб, плотников, столяров;</t>
  </si>
  <si>
    <t>Расходы на услуги связи и  интернет</t>
  </si>
  <si>
    <t>Страхование</t>
  </si>
  <si>
    <t>Налог на землю/в случае аренды - арендные платежи (с договора аренды земельного участка)</t>
  </si>
  <si>
    <t>ЧОД</t>
  </si>
  <si>
    <t>Маржа</t>
  </si>
  <si>
    <t>Загрузка</t>
  </si>
  <si>
    <t>Пример заполнения</t>
  </si>
  <si>
    <t>Заполнить</t>
  </si>
  <si>
    <t>Поступления от Food&amp;Beverage 
(Еда и напитки)</t>
  </si>
  <si>
    <t>Оплата расходов прочих центров прибыли</t>
  </si>
  <si>
    <t>Прочие операционные доходы (центры прибыли)</t>
  </si>
  <si>
    <t>Коммунальные платежи</t>
  </si>
  <si>
    <t>1 квартал</t>
  </si>
  <si>
    <t>2 квартал</t>
  </si>
  <si>
    <t>3 квартал</t>
  </si>
  <si>
    <t>4 квартал</t>
  </si>
  <si>
    <t>Данные за последние 4 квартала:</t>
  </si>
  <si>
    <t>Маркетинговые платежи, $/ кв. м в год</t>
  </si>
  <si>
    <t>Маркетинговые платежи, у.е./ кв. м в год</t>
  </si>
  <si>
    <t>Маркетинговые платежи, euro/ кв. м в год</t>
  </si>
  <si>
    <t>Маркетинговые платежи, руб./ кв. м в год</t>
  </si>
  <si>
    <t>Ромашка и Ко</t>
  </si>
  <si>
    <t>Base Fees (базовая плата за управление) от выручки номерного фонда</t>
  </si>
  <si>
    <t>Franchise Fees (франшиза)</t>
  </si>
  <si>
    <t>Incentive Fees 
(Поощрительная комиссия за управление)</t>
  </si>
  <si>
    <t>Оплата расходов Food&amp;Beverage (Еда и напитки)</t>
  </si>
  <si>
    <t>ADR* без завтрака</t>
  </si>
  <si>
    <t>*ADR (averagedailyrate) – средняя цена продажи номеров за день, без НДС и завтрака</t>
  </si>
  <si>
    <t>Арендаторы в долларах США, без НДС/с НДС (выбрать)</t>
  </si>
  <si>
    <t>Арендаторы в условных единицах (как определяются у.е.) без НДС/с НДС (выбрать)</t>
  </si>
  <si>
    <t>Арендаторы в евро без НДС/с НДС (выбрать)</t>
  </si>
  <si>
    <t>Арендаторы в рублях без НДС/с НДС (выбрать)</t>
  </si>
  <si>
    <t>Статус</t>
  </si>
  <si>
    <t>офис</t>
  </si>
  <si>
    <t>35А</t>
  </si>
  <si>
    <t>Всего арендная ставка, $/ кв. м в год, в 1-ый год</t>
  </si>
  <si>
    <t>Иные платежи (при наличии в договоре аренды), кв. м в год</t>
  </si>
  <si>
    <t>Иные  платежи, в год всего, у.е. кв. м в год</t>
  </si>
  <si>
    <t>Иные  платежи, в год всего, euro кв. м в год</t>
  </si>
  <si>
    <t>Иные  платежи, в год всего, руб. кв. м в год</t>
  </si>
  <si>
    <t>Доход за год, $</t>
  </si>
  <si>
    <t>Доход от оборота в год, $</t>
  </si>
  <si>
    <t>Доход от оборота в год, у.е.</t>
  </si>
  <si>
    <t>Доход от оборота в год, euro</t>
  </si>
  <si>
    <t>Доход от оборота в год, руб.</t>
  </si>
  <si>
    <t>Общий Доход от арендатора в год, $</t>
  </si>
  <si>
    <t>Общий Доход от арендатора в год, у.е.</t>
  </si>
  <si>
    <t>Общий Доход от арендатора в год, euro</t>
  </si>
  <si>
    <t>Общий Доход от арендатора в год, руб.</t>
  </si>
  <si>
    <t>Согласно ВНД по работе с отдельными видами активов</t>
  </si>
  <si>
    <t>Запрашивается у клиента</t>
  </si>
  <si>
    <t>Обязательно для автотранспортных средств</t>
  </si>
  <si>
    <t>1. Контроль состояния и условий хранения / эксплуатации/ содержания имущества
2. Контроль негативных изменений в бизнесе Заемщика/Залогодателя</t>
  </si>
  <si>
    <t>1. Контроль состояния и условий хранения / эксплуатации/ содержания имущества
2. Контроль негативных изменений в бизнесе Заемщика/Залогодателя
3. Актуализация стоимости обеспечения</t>
  </si>
  <si>
    <t>При необходимости по требованию ПМЗ (с учетом периодичности освидетельствования)</t>
  </si>
  <si>
    <t>1. Контроль права собственности на заложенное имущество
2. Контроль фактического наличия имущества
3. Актуализация стоимости и ликвидности обеспечения</t>
  </si>
  <si>
    <t>1. Контроль права собственности на заложенное имущество
2. Контроль состояния и условий хранения / эксплуатации/ содержания имущества
3. Актуализация</t>
  </si>
  <si>
    <t>Контроль состояния и условий хранения / эксплуатации/ содержания имущества</t>
  </si>
  <si>
    <t>Выявление прочно присоединенного движимого имущества, принятого к учету в виде отдельных позиций (лифты, эскалаторы, системы вентиляции, кондиционирования, пожаротушения и др.), а также имущества, имеющего признаки недвижимости, но не зарегистрированного, как объект недвижимого имущества и связанных с этим рисков</t>
  </si>
  <si>
    <t>2.  Перечень документов, необходимых для мониторинга залога движимого имущества</t>
  </si>
  <si>
    <t>Идентификация предмета залога, определение инвентарного номера, даты постановки на баланс, первоначальной и остаточной стоимости. Проверка соответствия фактических данных с описанием предмета залога в Договоре залога и выписке из Реестра уведомлений о залоге движимого имущества (ЕИСН)</t>
  </si>
  <si>
    <t>Установление фактического точного адреса местонахождения объекта залога, основания, условий и сроков его нахождения по данному адресу. Проверка соответствия фактических данных с адресом местонахождения предмета залога в Договоре залога. Подтверждение  отсутствия просроченной задолженности перед арендодателем или хранителем, необходимы для снижения риска досрочного расторжения договора аренды или ответственного хранения</t>
  </si>
  <si>
    <t>рубли без НДС/с НДС (выбрать)</t>
  </si>
  <si>
    <t>Контроль наличия обременений</t>
  </si>
  <si>
    <t>Получается Банком самостоятельно</t>
  </si>
  <si>
    <t>Источник получения документа</t>
  </si>
  <si>
    <t xml:space="preserve">Охранное обязательство собственника памятника истории и культуры </t>
  </si>
  <si>
    <t>-</t>
  </si>
  <si>
    <t>Получается  Банком самостоятельно</t>
  </si>
  <si>
    <t>Отражение перечня всего имущества, учитываемого на балансе Залогодателя</t>
  </si>
  <si>
    <t>Запрашивается у клиента/Получается  Банком самостоятельно</t>
  </si>
  <si>
    <t>Идентификация предмета залога. Проверка соответствия фактических данных с описанием предмета залога в Договоре залога и выписке из Реестра уведомлений о залоге движимого имущества (ЕИСН)</t>
  </si>
  <si>
    <t>В соответствии с требованиями  ВНД по работе с отдельными видами активов</t>
  </si>
  <si>
    <t>Обязательно, в случае если предмет залога сдается в аренду</t>
  </si>
  <si>
    <t>При необходимости по требованию ПМЗ (с учетом срока действия договора/полиса)</t>
  </si>
  <si>
    <t xml:space="preserve">Выписка из реестра владельцев именных ценных бумаг  и/или отчет со счета депо в Депозитарии, подтверждающие наличие принадлежащих ему на праве собственности ценных бумаг, а также содержащие информацию о наличии/отсутствии обременений/ограничений, сроком выдачи не ранее 30 дней до момента представления в Банк </t>
  </si>
  <si>
    <t>5. Перечень документов, необходимых для мониторинга залога некотируемых акций и долей участия в УК ООО в составе бизнеса или имущественных комплексов</t>
  </si>
  <si>
    <t>4. Перечень документов, необходимых для мониторинга залога некотируемых акций и долей участия в УК ООО</t>
  </si>
  <si>
    <t>Выписка из Единого государственного реестра юридических лиц (ЕГРЮЛ), выданная не ранее, чем за 30 дней до даты рассмотрения документа 
или 
Выписка из Единого государственного реестра индивидуальных предпринимателей (ЕГРИП), выданная не ранее, чем за 30 дней до даты рассмотрения документа</t>
  </si>
  <si>
    <t>Запрашивается, если на этапе залоговой экспертизы или в процессе мониторинга выявлено, что имущество находилось и/или находится в состоянии ремонта</t>
  </si>
  <si>
    <t>Платежные документы, подтверждающие оплату арендной платы по договору аренды земельного участка за последние 3 месяца или справка от арендодателя об отсутствии задолженности по арендной плате, по состоянию на дату близкую к дате мониторинга</t>
  </si>
  <si>
    <t>Контроль оплаты арендных платежей</t>
  </si>
  <si>
    <t>В случае отсутствия актуальных в CRM/ЭКД</t>
  </si>
  <si>
    <t>Возможность предоставления документа посредством электронного документооборота</t>
  </si>
  <si>
    <t>В соответствии с требованиями  ВНД по получению данной документации</t>
  </si>
  <si>
    <t>Прочие документы, предусмотренные ВНД по работе с отдельными видами активов (например, Сельскохозяйственные животные и иные)</t>
  </si>
  <si>
    <t>Обязательно (при наличии)</t>
  </si>
  <si>
    <t>Документы, получаемые для проведения Планового/внепланового мониторинга</t>
  </si>
  <si>
    <t>Запрашивается у клиента (в случае отсутствия в CRM/ЭКД), а также при необходимости получения актуального документа</t>
  </si>
  <si>
    <t>Запрашивается у клиента (в случае отсутствия в CRM/ЭКД)</t>
  </si>
  <si>
    <t>При необходимости по требованию ПМЗ (с учетом срока действия Договора аренды/хранения) и объектов заложенного имущества</t>
  </si>
  <si>
    <t>Обязательно для автотранспортных средств и самоходной техники</t>
  </si>
  <si>
    <t>В случае отсутствия актуальных в CRM/ЭКД. Cотрудник Банка самостоятельно получает выписку из ЕГРН</t>
  </si>
  <si>
    <t>6. Перечень документов, необходимых для мониторинга активов, принятых в залог как Комплекс имущества  в соответствии с положениями Приложения № 14 Книги знаний по работе с отдельными видами залогового обеспечения ПАО Сбербанк № П-185 от 15.12.2017 г.</t>
  </si>
  <si>
    <t>Обязательность предоставления при передаче договора на Мониторинг либо обеспечение доступа ПМЗ к документам в АС Банка</t>
  </si>
  <si>
    <t>Обязательно, кроме транспортных средств и самоходной техники</t>
  </si>
  <si>
    <t>При необходимости по требованию ПМЗ в случае выявления факта ремонта/моджернизации</t>
  </si>
  <si>
    <t>Выписка из ЕГРН об объекте недвижимого имущества/о зарегистрированных договорах участия в долевом строительстве, полученная не ранее чем за 30 дней до даты рассмотрения документов</t>
  </si>
  <si>
    <t>Установление субъекта правообладателя, наличия ограничений и обременений права на дату, максимально приближенную к дате проведения мониторинга и связанных с ними рисков. Проверка соответствия фактических данных с описанием предмета ипотеки в Договоре ипотеки</t>
  </si>
  <si>
    <t>Обязательно при наличии</t>
  </si>
  <si>
    <t xml:space="preserve">Для контроля ценообразующих параметров </t>
  </si>
  <si>
    <t xml:space="preserve">*  требования к форме документов (оригинал, простая копия, нотариальной удостоверенная копия и т.д.), а также возможность к получению Банком посредством ЭДО определены в приложении 1.1 «Альбома форм документов, используемых при принятии и мониторинге кредитных рисков на корпоративных клиентов» от 24.02.2011 №2093 </t>
  </si>
  <si>
    <t>Выписка из базы данных  ОАО «РЖД» (ГВЦ ОАО "РЖД"/ИВЦ ЖА/АСУ ЦТ и пр.)</t>
  </si>
  <si>
    <t>Поэтажный план и экспликация/ведомость помещений в составе Технического паспорта/ Технического плана</t>
  </si>
  <si>
    <t>Признак документа</t>
  </si>
  <si>
    <t>ОД или КЗН или КЗРО</t>
  </si>
  <si>
    <t>ОД</t>
  </si>
  <si>
    <t>ОД или КЗН</t>
  </si>
  <si>
    <t xml:space="preserve">Договор аренды земельного участка с отметкой о государственной регистрации с изменениями и дополнениями на дату предоставления в Банк </t>
  </si>
  <si>
    <t>КЗН</t>
  </si>
  <si>
    <t>Паспорт транспортного средства  (ПТС) или самоходной машины (ПСМ), регистрационное свидетельство – для транспортных средств</t>
  </si>
  <si>
    <t>ПКД</t>
  </si>
  <si>
    <t xml:space="preserve">Информация из Единой информационной системы нотариата </t>
  </si>
  <si>
    <t>Документы, на основании которых оцениваемое имущество хранится или эксплуатируется в том или ином помещении (свидетельства о праве собственности/договоры об аренде помещений/договоры ответственного хранения и т.д.)</t>
  </si>
  <si>
    <t>Прочие документы, предусмотренные ВНД по работе с отдельными видами активов</t>
  </si>
  <si>
    <t>*</t>
  </si>
  <si>
    <t>Предоставляется при залоге объектов культурного наследия (памятников истории и культуры)</t>
  </si>
  <si>
    <t>В документе обязательно должна быть  указана следующая информация: инвентарный номер, наименование, дата принятия к бухгалтерскому учету, остаточная балансовая стоимость на последнюю отчетную дату, первоначальная стоимость.
Документ должен быть  подписан руководителем и главным бухгалтером Залогодателя и заверен его печатью</t>
  </si>
  <si>
    <t>Заключение органов Ростехнадзора или их отметки о годности объекта к эксплуатации (для отдельных видов оборудования, требующих освидетельствования)</t>
  </si>
  <si>
    <r>
      <rPr>
        <sz val="10"/>
        <rFont val="Times New Roman"/>
        <family val="1"/>
        <charset val="204"/>
      </rPr>
      <t>Обязательно</t>
    </r>
    <r>
      <rPr>
        <strike/>
        <sz val="10"/>
        <rFont val="Times New Roman"/>
        <family val="1"/>
        <charset val="204"/>
      </rPr>
      <t xml:space="preserve">
</t>
    </r>
    <r>
      <rPr>
        <sz val="10"/>
        <rFont val="Times New Roman"/>
        <family val="1"/>
        <charset val="204"/>
      </rPr>
      <t>(В Excel в случае, если в таком формате запрашивались при проведении залоговой экспертизы)</t>
    </r>
  </si>
  <si>
    <t>Сертификаты соответствия, удостоверения качества, ветеринарные свидетельства и т.д., удостоверенные печатью соответствующих контролирующих органов (по 5 наиболее крупным товарным позициям)</t>
  </si>
  <si>
    <t>При необходимости по требованию ПМЗ при наличии</t>
  </si>
  <si>
    <r>
      <rPr>
        <sz val="10"/>
        <rFont val="Times New Roman"/>
        <family val="1"/>
        <charset val="204"/>
      </rPr>
      <t>Обязательно</t>
    </r>
    <r>
      <rPr>
        <strike/>
        <sz val="10"/>
        <rFont val="Times New Roman"/>
        <family val="1"/>
        <charset val="204"/>
      </rPr>
      <t xml:space="preserve">
</t>
    </r>
    <r>
      <rPr>
        <sz val="10"/>
        <rFont val="Times New Roman"/>
        <family val="1"/>
        <charset val="204"/>
      </rPr>
      <t>(В Excel в случае если в таком формате запрашивались при проведении залоговой экспертизы)</t>
    </r>
  </si>
  <si>
    <t>Аудиторские заключения за последние 3 года</t>
  </si>
  <si>
    <t>Оригинал документа</t>
  </si>
  <si>
    <t>Удостоверяется собственноручной подписью лица/должностного лица, с указанием грифа утверждения, оттиска печати, регистрационного номера и т.д. Оригинал документа обязательно содержит сведения, подтверждающие  его достоверность (об авторе, времени и месте создания документа)</t>
  </si>
  <si>
    <t>Копия, заверенная нотариально</t>
  </si>
  <si>
    <t>Точно воспроизведенный текст документа с отметкой нотариуса о соответствии копии документа его оригиналу</t>
  </si>
  <si>
    <t>КЗРО</t>
  </si>
  <si>
    <t xml:space="preserve">Копия, заверенная регистрирующим органом </t>
  </si>
  <si>
    <t>Копия, заверенная органом, осуществляющим официальную государственную регистрацию юридического события, факта или действия, подлежащего регистрации.</t>
  </si>
  <si>
    <t>Простая копия документа</t>
  </si>
  <si>
    <t>Копия, заверенная уполномоченным лицом и печатью юридического лица либо заверенная уполномоченным сотрудником Банка, а по документам, предоставляемым физическим лицом  им лично в присутствии сотрудника Банка</t>
  </si>
  <si>
    <t>**Признак документа:</t>
  </si>
  <si>
    <t>Признак документа**</t>
  </si>
  <si>
    <t xml:space="preserve">Выписка из Единого государственного реестра юридических лиц (ЕГРЮЛ), выданная не ранее, чем за 30 дней до даты рассмотрения документа 
</t>
  </si>
  <si>
    <t>Подписание Акта проверки уполномоченным лицом Залогодателя</t>
  </si>
  <si>
    <t>нет</t>
  </si>
  <si>
    <t>Нет</t>
  </si>
  <si>
    <t>Да</t>
  </si>
  <si>
    <t xml:space="preserve">Нет </t>
  </si>
  <si>
    <t>в зависимости от значения параметра по конкретному документу на листах НДИ/ДИ</t>
  </si>
  <si>
    <t>Арендный план Залогодателя  (или реестр арендных договоров) с указанием - этажа, наименования арендатора, занимаемой площади, идентификации помещения, ставки аренды (включены ли НДС и операционные расходы), периода действия договоров аренды помещений, даты актуальности арендного плана</t>
  </si>
  <si>
    <r>
      <rPr>
        <strike/>
        <sz val="10"/>
        <rFont val="Times New Roman"/>
        <family val="1"/>
        <charset val="204"/>
      </rPr>
      <t>Д</t>
    </r>
    <r>
      <rPr>
        <sz val="10"/>
        <rFont val="Times New Roman"/>
        <family val="1"/>
        <charset val="204"/>
      </rPr>
      <t>оговоры страхования и полисы ОСАГО (для автотранспортных средств)</t>
    </r>
  </si>
  <si>
    <r>
      <t>При необходимости по требованию ПМЗ</t>
    </r>
    <r>
      <rPr>
        <strike/>
        <sz val="10"/>
        <rFont val="Times New Roman"/>
        <family val="1"/>
        <charset val="204"/>
      </rPr>
      <t xml:space="preserve">
</t>
    </r>
  </si>
  <si>
    <t>Справка  Залогодателя  об эксплуатационных расходах по объекту за последний год с разбивкой по месяцам и видам затрат (налог на земельный участок, налог на здание/арендные платежи, коммунальные услуги и т.д.) (см Шаблон лист "Расходы"- для коммерческой недвижимости, которая сдается в аренду)
Для Гостиниц форма согласно Шаблону (см лист "Данные по гостинице),</t>
  </si>
  <si>
    <t>Обязательно, в том числе  в случае истечения срока ранее представленной доверенности на уполномоченное лицо,  по требованию ПМЗ</t>
  </si>
  <si>
    <r>
      <t>Примечание 1:</t>
    </r>
    <r>
      <rPr>
        <b/>
        <vertAlign val="superscript"/>
        <sz val="10"/>
        <rFont val="Times New Roman"/>
        <family val="1"/>
        <charset val="204"/>
      </rPr>
      <t xml:space="preserve"> </t>
    </r>
    <r>
      <rPr>
        <b/>
        <sz val="10"/>
        <rFont val="Times New Roman"/>
        <family val="1"/>
        <charset val="204"/>
      </rPr>
      <t>При самостоятельном получении Банком документов уполномоченных государственных органов (ФНС России, Росреестр) в электронной форме, формируемых с их официальных сайтов в сети Интернет, подписанных УКЭП.</t>
    </r>
  </si>
  <si>
    <t>Если в процессе мониторинга выявлено, что имущество находится в состоянии ремонта/модернизации дополнительно запрашиваются:
утвержденные Залогодателем  план - графики проведения работ по текущим и капитальным ремонтам движимого имущества на текущий год, а также планы проведения модернизаций;
документы, подтверждающие техническое состояние имущества  (договоры на проведение ремонтных работ с подрядными организациями, акты выполненных работ; результаты независимой экспертизы технического состояния имущества; заключения комиссий о результатах обследований, проведенных собственными силами завода и пр.).</t>
  </si>
  <si>
    <t>Справка складского учета Залогодателя с указанием адреса местонахождения склада, а также полного наименования и артикулов товара, количества товара, единиц измерений товара, стоимости за единицу товара (с указанием вида стоимости: балансовая, закупочная, оптовая отпускная, учетная, с/без НДС, в руб.), родовых признаков товара, фирмы и страны происхождения товара, собственника в Excel на дату проверки или на дату, предшествующую дате проверки не более чем за 3 дня</t>
  </si>
  <si>
    <r>
      <t>Документы, на основании которых заложенное имущество хранится в помещении (Выписка из ЕГРН/договоры об аренде помещений/хранения/оказания услуг и т.д.) и платежные документы</t>
    </r>
    <r>
      <rPr>
        <strike/>
        <sz val="10"/>
        <rFont val="Times New Roman"/>
        <family val="1"/>
        <charset val="204"/>
      </rPr>
      <t xml:space="preserve">и </t>
    </r>
    <r>
      <rPr>
        <sz val="10"/>
        <rFont val="Times New Roman"/>
        <family val="1"/>
        <charset val="204"/>
      </rPr>
      <t>по оплате арендуемых помещений, хранения, оказания услуг</t>
    </r>
  </si>
  <si>
    <t>Информация Залогодателя  о производственных мощностях Компании в разрезе основных видов выпускаемой продукции на текущую дату</t>
  </si>
  <si>
    <r>
      <t xml:space="preserve">Бухгалтерская отчетность компании  </t>
    </r>
    <r>
      <rPr>
        <u/>
        <sz val="10"/>
        <rFont val="Times New Roman"/>
        <family val="1"/>
        <charset val="204"/>
      </rPr>
      <t>Залогодателя</t>
    </r>
    <r>
      <rPr>
        <sz val="10"/>
        <rFont val="Times New Roman"/>
        <family val="1"/>
        <charset val="204"/>
      </rPr>
      <t xml:space="preserve"> за последнюю отчетную дату (со всеми приложениями и расшифровками) в стандартах РСБУ и МСФО (если подобная отчетность составляется).
Расшифровки предоставляются нижеследующие, в том числе, но не исключительно:
- расшифровка 01, 07, 08 счетов; 
- сведения об имеющихся нематериальных активах (перечень, балансовая стоимость);
- расшифровка краткосрочных и долгосрочных финансовых вложений (по дочерним/зависимым обществам: перечень компаний, балансовая стоимость вложения, доля владения в УК, бухгалтерская отчетность на дату оценки);
- расшифровка запасов готовой продукции и материалов по состоянию на последнюю отчетную дату;
- расшифровка дебиторской и кредиторской задолженности с указанием даты возникновения задолженности и статуса (текущая, просроченная, нереальная к взысканию);
- сведения об имеющемся кредитном портфеле компании, включая внутренние и внешние займы, с указанием графика и условий погашения основного долга и процентов</t>
    </r>
  </si>
  <si>
    <r>
      <rPr>
        <b/>
        <sz val="10"/>
        <rFont val="Times New Roman"/>
        <family val="1"/>
        <charset val="204"/>
      </rPr>
      <t>Примечание 1:</t>
    </r>
    <r>
      <rPr>
        <sz val="10"/>
        <rFont val="Times New Roman"/>
        <family val="1"/>
        <charset val="204"/>
      </rPr>
      <t xml:space="preserve"> При самостоятельном получении Банком документов уполномоченных государственных органов (ФНС России, Росреестр) в электронной форме, формируемых с их официальных сайтов в сети Интернет, подписанных УКЭП.
*  требования к форме документов (оригинал, простая копия, нотариальной удостоверенная копия и т.д.), а также возможность к получению Банком посредством ЭДО определены в приложении 1.1 
</t>
    </r>
  </si>
  <si>
    <r>
      <t xml:space="preserve">Бухгалтерская и финансовая отчетность Компании </t>
    </r>
    <r>
      <rPr>
        <b/>
        <u/>
        <sz val="10"/>
        <rFont val="Times New Roman"/>
        <family val="1"/>
        <charset val="204"/>
      </rPr>
      <t xml:space="preserve">Залогодателя  </t>
    </r>
    <r>
      <rPr>
        <sz val="10"/>
        <rFont val="Times New Roman"/>
        <family val="1"/>
        <charset val="204"/>
      </rPr>
      <t>за последний отчетный период и завершенный финансовый год, подготовленная по российским стандартам бухгалтерского учета (РСБУ) с формами (приложениями к балансам) 2,3,4,5 для сельхозпредприятий с формами 13-АПК «Производство и себестоимость продукции» и № 16-АПК «Баланс продукции» и (если применимо) по международным стандартам финансовой отчетности (МСФО).</t>
    </r>
  </si>
  <si>
    <t>Данные Залогодателя о фактически достигнутых значениях показателей выручки по основной операционной деятельности и соответствующей выручке EBITDA по отдельным структурным единицам залогодателя (Предоставление Клиентом указанных показателей с периодичностью планового мониторинга необходимо включать в условия кредитно-обеспечительной документации в том случае, если на балансе организации есть иные активы, не заложенные в рамках рассматриваемого КИ. При этом, если на балансе организации есть несколько несвязанных КИ, предоставление показателей должно производиться по отдельным структурным единицам)</t>
  </si>
  <si>
    <t>Доверенность на представителя Залогодателя, уполномоченного на подписание Акта проверки (предоставлется в случае подписания Акта проверки представителем Залогодателя по доверенности)</t>
  </si>
  <si>
    <t>Либо копия договора аренды (при сдаче объекта или его части в аренду третьим лицам) в Excel по рекомендуемой форме (см лист "Арендный план"), а также в виде итогового скана от Залогодателя.</t>
  </si>
  <si>
    <t xml:space="preserve">Обязательно </t>
  </si>
  <si>
    <t xml:space="preserve">Документы, на основании которых зарегистрировано право правообладателя на объект недвижимости, с приложением платежных документов*** </t>
  </si>
  <si>
    <t xml:space="preserve">*** платежные документы предоставляются, если объект недвижимости при обретен на возмездной основе -  в виде простой копии документа (ПКД)». </t>
  </si>
  <si>
    <t>Расшифровка соответствующих балансовых счетов Залогодателя (10, 11, 40, 41, 43, 45 – в зависимости от того, на каком счете учитывается заложенный товар) на дату оценки/актуализации оригинал и в Excel, а также  в виде итогого скана, остатки в котором должны совпадать с остатками в выгрузке в Excel</t>
  </si>
  <si>
    <t>Расшифровка соответствующих балансовых счетов Залогодателя (01, 03, 07 и 08) или выписка соответствующих балансовых счетов), оригинал и в Excel</t>
  </si>
  <si>
    <t>Приложение 31</t>
  </si>
  <si>
    <r>
      <t xml:space="preserve">Перечень основных средств Залогодателя  (относящийся только к предмету залога - 01, 03, 07, 08 счета), содержащий объекты инженерной инфраструктуры, функционально обеспечивающие  заложенный объект недвижимости
</t>
    </r>
    <r>
      <rPr>
        <sz val="10"/>
        <rFont val="Calibri"/>
        <family val="2"/>
        <charset val="204"/>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</si>
</sst>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6">
    <numFmt numFmtId="41" formatCode="_-* #,##0_-;\-* #,##0_-;_-* &quot;-&quot;_-;_-@_-"/>
    <numFmt numFmtId="43" formatCode="_-* #,##0.00_-;\-* #,##0.00_-;_-* &quot;-&quot;??_-;_-@_-"/>
    <numFmt numFmtId="164" formatCode="_-* #,##0&quot;р.&quot;_-;\-* #,##0&quot;р.&quot;_-;_-* &quot;-&quot;&quot;р.&quot;_-;_-@_-"/>
    <numFmt numFmtId="165" formatCode="_-* #,##0_р_._-;\-* #,##0_р_._-;_-* &quot;-&quot;_р_._-;_-@_-"/>
    <numFmt numFmtId="166" formatCode="_-* #,##0.00&quot;р.&quot;_-;\-* #,##0.00&quot;р.&quot;_-;_-* &quot;-&quot;??&quot;р.&quot;_-;_-@_-"/>
    <numFmt numFmtId="167" formatCode="_-* #,##0.00_р_._-;\-* #,##0.00_р_._-;_-* &quot;-&quot;??_р_._-;_-@_-"/>
    <numFmt numFmtId="168" formatCode="#,##0&quot;р.&quot;"/>
    <numFmt numFmtId="169" formatCode="#,##0.0&quot;р.&quot;"/>
    <numFmt numFmtId="170" formatCode="[$$-409]#,##0"/>
    <numFmt numFmtId="171" formatCode="[$$-1009]#,##0.00"/>
    <numFmt numFmtId="172" formatCode="#.00"/>
    <numFmt numFmtId="173" formatCode="&quot;$&quot;#.00"/>
    <numFmt numFmtId="174" formatCode="#."/>
    <numFmt numFmtId="175" formatCode="_-* #,##0\ &quot;руб&quot;_-;\-* #,##0\ &quot;руб&quot;_-;_-* &quot;-&quot;\ &quot;руб&quot;_-;_-@_-"/>
    <numFmt numFmtId="176" formatCode="#,##0.0;\(#,##0.0\)"/>
    <numFmt numFmtId="177" formatCode="#,##0.00;\(#,##0.00\)"/>
    <numFmt numFmtId="178" formatCode="#,##0.0;[Red]\(#,##0.0\)"/>
    <numFmt numFmtId="179" formatCode="#\ ##0\ "/>
    <numFmt numFmtId="180" formatCode="#,##0.0_);\(#,##0.0\)"/>
    <numFmt numFmtId="181" formatCode="_(* #,##0.0000_);_(* \(#,##0.0000\);_(* &quot;-&quot;??_);_(@_)"/>
    <numFmt numFmtId="182" formatCode="0.0%;[Red]\(0.0%\)"/>
    <numFmt numFmtId="183" formatCode="0%;[Red]\(0%\)"/>
    <numFmt numFmtId="184" formatCode="_(&quot;$&quot;* #,##0.00_);_(&quot;$&quot;* \(#,##0.00\);_(&quot;$&quot;* &quot;-&quot;??_);_(@_)"/>
    <numFmt numFmtId="185" formatCode="0.0%;\(0.0%\)"/>
    <numFmt numFmtId="186" formatCode="mmm\ yy;;\ "/>
    <numFmt numFmtId="187" formatCode="0.000_)"/>
    <numFmt numFmtId="188" formatCode="_(* #,##0.00_);_(* \(#,##0.00\);_(* &quot;-&quot;??_);_(@_)"/>
    <numFmt numFmtId="189" formatCode="&quot;$&quot;#,##0_);[Red]\(&quot;$&quot;#,##0\)"/>
    <numFmt numFmtId="190" formatCode="&quot;$&quot;#,##0.0;\(&quot;$&quot;#,##0.0\);&quot;$&quot;#,##0.0"/>
    <numFmt numFmtId="191" formatCode="\£#,##0.0;\(\£#,##0.0\);\£#,##0.0"/>
    <numFmt numFmtId="192" formatCode="0.0"/>
    <numFmt numFmtId="193" formatCode="\$#,##0\ ;\(\$#,##0\)"/>
    <numFmt numFmtId="194" formatCode="#,##0,"/>
    <numFmt numFmtId="195" formatCode="#,##0,,"/>
    <numFmt numFmtId="196" formatCode="_([$€]* #,##0.00_);_([$€]* \(#,##0.00\);_([$€]* &quot;-&quot;??_);_(@_)"/>
    <numFmt numFmtId="197" formatCode="_([$€-2]* #,##0.00_);_([$€-2]* \(#,##0.00\);_([$€-2]* &quot;-&quot;??_)"/>
    <numFmt numFmtId="198" formatCode="\+\ #\ ??/??;[Red]\ \-\ #\ ??/??"/>
    <numFmt numFmtId="199" formatCode="0.0%"/>
    <numFmt numFmtId="200" formatCode="#,##0&quot; m2&quot;"/>
    <numFmt numFmtId="201" formatCode="#,##0;[Red]&quot;-&quot;#,##0"/>
    <numFmt numFmtId="202" formatCode="_-* #,##0_ _F_-;\-* #,##0_ _F_-;_-* &quot;-&quot;_ _F_-;_-@_-"/>
    <numFmt numFmtId="203" formatCode="_-* #,##0.00_ _F_-;\-* #,##0.00_ _F_-;_-* &quot;-&quot;??_ _F_-;_-@_-"/>
    <numFmt numFmtId="204" formatCode="_(&quot;$&quot;* #,##0_);_(&quot;$&quot;* \(#,##0\);_(&quot;$&quot;* &quot;-&quot;_);_(@_)"/>
    <numFmt numFmtId="205" formatCode="_-&quot;$&quot;* #,##0_-;\-&quot;$&quot;* #,##0_-;_-&quot;$&quot;* &quot;-&quot;_-;_-@_-"/>
    <numFmt numFmtId="206" formatCode="_-&quot;$&quot;* #,##0.00_-;\-&quot;$&quot;* #,##0.00_-;_-&quot;$&quot;* &quot;-&quot;??_-;_-@_-"/>
    <numFmt numFmtId="207" formatCode="_-* #,##0&quot; F&quot;_-;\-* #,##0&quot; F&quot;_-;_-* &quot;-&quot;&quot; F&quot;_-;_-@_-"/>
    <numFmt numFmtId="208" formatCode="_-* #,##0.00&quot; F&quot;_-;\-* #,##0.00&quot; F&quot;_-;_-* &quot;-&quot;??&quot; F&quot;_-;_-@_-"/>
    <numFmt numFmtId="209" formatCode="#,##0.0\x;\(#,##0.0\x\);#,##0.0\x"/>
    <numFmt numFmtId="210" formatCode="#,##0_);\(#,##0\);\ _)"/>
    <numFmt numFmtId="211" formatCode="#,##0.00_);\(#,##0.00\);&quot; --- &quot;"/>
    <numFmt numFmtId="212" formatCode="#,##0.00\ ;\(#,##0.00\)"/>
    <numFmt numFmtId="213" formatCode="#,"/>
    <numFmt numFmtId="214" formatCode="0%_);\(0%\)"/>
    <numFmt numFmtId="215" formatCode="0%;\(0%\)"/>
    <numFmt numFmtId="216" formatCode="0.00%_);\(0.00%\);\-_%_)"/>
    <numFmt numFmtId="217" formatCode="#,##0&quot;£&quot;_);[Red]\(#,##0&quot;£&quot;\)"/>
    <numFmt numFmtId="218" formatCode="#,##0_);\(#,##0\);\-_)"/>
    <numFmt numFmtId="219" formatCode="_(* #,##0_);_(* \(#,##0\);_(* &quot;-&quot;_);_(@_)"/>
    <numFmt numFmtId="220" formatCode="0.000"/>
    <numFmt numFmtId="221" formatCode="&quot;   &quot;@"/>
    <numFmt numFmtId="222" formatCode="_(* #,##0_);_(* \(#,##0\);_(* &quot;-&quot;_)"/>
    <numFmt numFmtId="223" formatCode="\&gt;\&gt;@"/>
    <numFmt numFmtId="224" formatCode="&quot;-&quot;\ @"/>
    <numFmt numFmtId="225" formatCode="\&gt;@"/>
    <numFmt numFmtId="226" formatCode="0.000%"/>
    <numFmt numFmtId="227" formatCode="_-* #,##0\ _k_r_-;\-* #,##0\ _k_r_-;_-* &quot;-&quot;\ _k_r_-;_-@_-"/>
    <numFmt numFmtId="228" formatCode="#,##0\ &quot;kr&quot;;[Red]\-#,##0\ &quot;kr&quot;"/>
    <numFmt numFmtId="229" formatCode="_-&quot;DM&quot;* #,##0_-;\-&quot;DM&quot;* #,##0_-;_-&quot;DM&quot;* &quot;-&quot;_-;_-@_-"/>
    <numFmt numFmtId="230" formatCode="_-&quot;DM&quot;* #,##0.00_-;\-&quot;DM&quot;* #,##0.00_-;_-&quot;DM&quot;* &quot;-&quot;??_-;_-@_-"/>
    <numFmt numFmtId="231" formatCode="&quot;$&quot;#,##0.00_);[Red]\(&quot;$&quot;#,##0.00\)"/>
    <numFmt numFmtId="232" formatCode="[$€-2]\ ###,000_);[Red]\([$€-2]\ ###,000\)"/>
    <numFmt numFmtId="233" formatCode="#,##0.0%;\(#,##0.0\)%;\-&quot; &quot;"/>
    <numFmt numFmtId="234" formatCode="#,##0\ ;\(#,##0\);\-&quot; &quot;"/>
    <numFmt numFmtId="235" formatCode="_-* #,##0\ _р_._-;\-* #,##0\ _р_._-;_-* &quot;-&quot;\ _р_._-;_-@_-"/>
    <numFmt numFmtId="236" formatCode="_-* #,##0.00\ _р_._-;\-* #,##0.00\ _р_._-;_-* &quot;-&quot;??\ _р_._-;_-@_-"/>
    <numFmt numFmtId="237" formatCode="%#.00"/>
  </numFmts>
  <fonts count="154">
    <font>
      <sz val="11"/>
      <color theme="1"/>
      <name val="Calibri"/>
      <family val="2"/>
      <charset val="204"/>
      <scheme val="minor"/>
    </font>
    <font>
      <b/>
      <sz val="12"/>
      <color theme="1"/>
      <name val="Times New Roman"/>
      <family val="1"/>
      <charset val="204"/>
    </font>
    <font>
      <sz val="11"/>
      <color theme="1"/>
      <name val="Calibri"/>
      <family val="2"/>
      <charset val="204"/>
      <scheme val="minor"/>
    </font>
    <font>
      <sz val="10"/>
      <name val="Times New Roman"/>
      <family val="1"/>
      <charset val="204"/>
    </font>
    <font>
      <sz val="9"/>
      <color theme="1"/>
      <name val="Times New Roman"/>
      <family val="1"/>
      <charset val="204"/>
    </font>
    <font>
      <sz val="10"/>
      <name val="Arial"/>
      <family val="2"/>
      <charset val="204"/>
    </font>
    <font>
      <b/>
      <sz val="10"/>
      <name val="Arial"/>
      <family val="2"/>
    </font>
    <font>
      <sz val="10"/>
      <name val="Arial"/>
      <family val="2"/>
    </font>
    <font>
      <sz val="10"/>
      <name val="Arial Cyr"/>
      <charset val="204"/>
    </font>
    <font>
      <sz val="10"/>
      <name val="Helv"/>
      <charset val="204"/>
    </font>
    <font>
      <sz val="10"/>
      <name val="Helv"/>
    </font>
    <font>
      <sz val="10"/>
      <name val="Arial Narrow"/>
      <family val="2"/>
    </font>
    <font>
      <sz val="10"/>
      <name val="Courier"/>
      <family val="3"/>
    </font>
    <font>
      <sz val="10"/>
      <name val="Courier"/>
      <family val="1"/>
      <charset val="204"/>
    </font>
    <font>
      <sz val="1"/>
      <color indexed="8"/>
      <name val="Courier"/>
      <family val="3"/>
    </font>
    <font>
      <sz val="1"/>
      <color indexed="8"/>
      <name val="Courier"/>
      <family val="1"/>
      <charset val="204"/>
    </font>
    <font>
      <b/>
      <sz val="1"/>
      <color indexed="8"/>
      <name val="Courier"/>
      <family val="3"/>
    </font>
    <font>
      <b/>
      <sz val="1"/>
      <color indexed="8"/>
      <name val="Courier"/>
      <family val="1"/>
      <charset val="204"/>
    </font>
    <font>
      <sz val="10"/>
      <name val="Arial Cyr"/>
    </font>
    <font>
      <sz val="8"/>
      <name val="Helv"/>
    </font>
    <font>
      <sz val="10"/>
      <name val="MS Sans Serif"/>
      <family val="2"/>
      <charset val="204"/>
    </font>
    <font>
      <b/>
      <sz val="10"/>
      <name val="Pragmatica"/>
      <charset val="204"/>
    </font>
    <font>
      <sz val="10"/>
      <color indexed="8"/>
      <name val="Arial Cyr"/>
      <family val="2"/>
      <charset val="204"/>
    </font>
    <font>
      <sz val="11"/>
      <color indexed="8"/>
      <name val="Calibri"/>
      <family val="2"/>
      <charset val="204"/>
    </font>
    <font>
      <sz val="10"/>
      <color indexed="9"/>
      <name val="Arial Cyr"/>
      <family val="2"/>
      <charset val="204"/>
    </font>
    <font>
      <sz val="11"/>
      <color indexed="9"/>
      <name val="Calibri"/>
      <family val="2"/>
      <charset val="204"/>
    </font>
    <font>
      <sz val="9"/>
      <name val="Times New Roman"/>
      <family val="1"/>
    </font>
    <font>
      <sz val="10"/>
      <color indexed="20"/>
      <name val="Arial Cyr"/>
      <family val="2"/>
      <charset val="204"/>
    </font>
    <font>
      <sz val="11"/>
      <color indexed="16"/>
      <name val="Calibri"/>
      <family val="2"/>
      <charset val="204"/>
    </font>
    <font>
      <b/>
      <sz val="8"/>
      <name val="Times New Roman"/>
      <family val="1"/>
      <charset val="204"/>
    </font>
    <font>
      <b/>
      <sz val="8"/>
      <color indexed="8"/>
      <name val="Times New Roman"/>
      <family val="1"/>
      <charset val="204"/>
    </font>
    <font>
      <b/>
      <sz val="8"/>
      <color indexed="12"/>
      <name val="Times New Roman"/>
      <family val="1"/>
      <charset val="204"/>
    </font>
    <font>
      <b/>
      <sz val="10"/>
      <color indexed="12"/>
      <name val="Arial"/>
      <family val="2"/>
      <charset val="204"/>
    </font>
    <font>
      <sz val="7"/>
      <name val="Times New Roman"/>
      <family val="1"/>
      <charset val="204"/>
    </font>
    <font>
      <sz val="10"/>
      <color indexed="8"/>
      <name val="Arial"/>
      <family val="2"/>
    </font>
    <font>
      <b/>
      <sz val="10"/>
      <color indexed="52"/>
      <name val="Arial Cyr"/>
      <family val="2"/>
      <charset val="204"/>
    </font>
    <font>
      <b/>
      <sz val="11"/>
      <color indexed="53"/>
      <name val="Calibri"/>
      <family val="2"/>
      <charset val="204"/>
    </font>
    <font>
      <b/>
      <sz val="8"/>
      <color indexed="12"/>
      <name val="Arial"/>
      <family val="2"/>
      <charset val="177"/>
    </font>
    <font>
      <b/>
      <sz val="10"/>
      <color indexed="9"/>
      <name val="Arial Cyr"/>
      <family val="2"/>
      <charset val="204"/>
    </font>
    <font>
      <b/>
      <sz val="11"/>
      <color indexed="9"/>
      <name val="Calibri"/>
      <family val="2"/>
      <charset val="204"/>
    </font>
    <font>
      <sz val="8"/>
      <color indexed="8"/>
      <name val="Times New Roman"/>
      <family val="1"/>
      <charset val="204"/>
    </font>
    <font>
      <b/>
      <sz val="10"/>
      <color indexed="9"/>
      <name val="Book Antiqua"/>
      <family val="1"/>
    </font>
    <font>
      <sz val="11"/>
      <name val="Tms Rmn"/>
    </font>
    <font>
      <sz val="12"/>
      <name val="Times New Roman"/>
      <family val="1"/>
      <charset val="204"/>
    </font>
    <font>
      <sz val="11"/>
      <color indexed="8"/>
      <name val="Calibri"/>
      <family val="2"/>
    </font>
    <font>
      <sz val="10"/>
      <color indexed="8"/>
      <name val="Arial"/>
      <family val="2"/>
      <charset val="204"/>
    </font>
    <font>
      <sz val="11"/>
      <color indexed="8"/>
      <name val="Arial"/>
      <family val="2"/>
    </font>
    <font>
      <sz val="10"/>
      <color indexed="22"/>
      <name val="MS Sans Serif"/>
      <family val="2"/>
      <charset val="204"/>
    </font>
    <font>
      <sz val="10"/>
      <name val="MS Serif"/>
      <family val="2"/>
      <charset val="204"/>
    </font>
    <font>
      <sz val="8"/>
      <name val="Times New Roman"/>
      <family val="1"/>
    </font>
    <font>
      <b/>
      <sz val="9"/>
      <name val="Times New Roman"/>
      <family val="1"/>
      <charset val="204"/>
    </font>
    <font>
      <sz val="12"/>
      <name val="Times"/>
      <family val="1"/>
    </font>
    <font>
      <sz val="12"/>
      <name val="Times"/>
      <family val="1"/>
    </font>
    <font>
      <b/>
      <sz val="11"/>
      <color indexed="8"/>
      <name val="Calibri"/>
      <family val="2"/>
      <charset val="204"/>
    </font>
    <font>
      <sz val="11"/>
      <name val="Book Antiqua"/>
      <family val="1"/>
    </font>
    <font>
      <sz val="10"/>
      <color indexed="16"/>
      <name val="MS Serif"/>
      <family val="2"/>
      <charset val="204"/>
    </font>
    <font>
      <i/>
      <sz val="10"/>
      <color indexed="23"/>
      <name val="Arial Cyr"/>
      <family val="2"/>
      <charset val="204"/>
    </font>
    <font>
      <i/>
      <sz val="11"/>
      <color indexed="23"/>
      <name val="Calibri"/>
      <family val="2"/>
      <charset val="204"/>
    </font>
    <font>
      <sz val="9"/>
      <name val="Times New Roman"/>
      <family val="1"/>
      <charset val="204"/>
    </font>
    <font>
      <sz val="10"/>
      <color indexed="17"/>
      <name val="Arial Cyr"/>
      <family val="2"/>
      <charset val="204"/>
    </font>
    <font>
      <sz val="11"/>
      <color indexed="17"/>
      <name val="Calibri"/>
      <family val="2"/>
      <charset val="204"/>
    </font>
    <font>
      <sz val="8"/>
      <name val="Arial"/>
      <family val="2"/>
    </font>
    <font>
      <i/>
      <sz val="8"/>
      <color indexed="12"/>
      <name val="Times New Roman"/>
      <family val="1"/>
      <charset val="204"/>
    </font>
    <font>
      <b/>
      <sz val="11"/>
      <name val="Helv"/>
    </font>
    <font>
      <i/>
      <sz val="11"/>
      <name val="Helv"/>
    </font>
    <font>
      <b/>
      <sz val="12"/>
      <name val="Arial"/>
      <family val="2"/>
    </font>
    <font>
      <b/>
      <sz val="15"/>
      <color indexed="56"/>
      <name val="Arial Cyr"/>
      <family val="2"/>
      <charset val="204"/>
    </font>
    <font>
      <b/>
      <sz val="15"/>
      <color indexed="62"/>
      <name val="Calibri"/>
      <family val="2"/>
      <charset val="204"/>
    </font>
    <font>
      <b/>
      <sz val="13"/>
      <color indexed="56"/>
      <name val="Arial Cyr"/>
      <family val="2"/>
      <charset val="204"/>
    </font>
    <font>
      <b/>
      <sz val="13"/>
      <color indexed="62"/>
      <name val="Calibri"/>
      <family val="2"/>
      <charset val="204"/>
    </font>
    <font>
      <b/>
      <sz val="11"/>
      <color indexed="56"/>
      <name val="Arial Cyr"/>
      <family val="2"/>
      <charset val="204"/>
    </font>
    <font>
      <b/>
      <sz val="11"/>
      <color indexed="62"/>
      <name val="Calibri"/>
      <family val="2"/>
      <charset val="204"/>
    </font>
    <font>
      <sz val="8"/>
      <name val="Tms Rmn"/>
    </font>
    <font>
      <u/>
      <sz val="7.5"/>
      <color indexed="12"/>
      <name val="Arial"/>
      <family val="2"/>
    </font>
    <font>
      <u/>
      <sz val="10"/>
      <color indexed="12"/>
      <name val="Arial"/>
      <family val="2"/>
    </font>
    <font>
      <b/>
      <sz val="8"/>
      <color indexed="12"/>
      <name val="Arial"/>
      <family val="2"/>
      <charset val="204"/>
    </font>
    <font>
      <u/>
      <sz val="10"/>
      <color indexed="30"/>
      <name val="Arial"/>
      <family val="2"/>
      <charset val="204"/>
    </font>
    <font>
      <u/>
      <sz val="10"/>
      <color indexed="12"/>
      <name val="Arial"/>
      <family val="2"/>
      <charset val="204"/>
    </font>
    <font>
      <sz val="10"/>
      <color indexed="62"/>
      <name val="Arial Cyr"/>
      <family val="2"/>
      <charset val="204"/>
    </font>
    <font>
      <sz val="10"/>
      <name val="Geneva"/>
    </font>
    <font>
      <sz val="11"/>
      <color indexed="62"/>
      <name val="Calibri"/>
      <family val="2"/>
      <charset val="204"/>
    </font>
    <font>
      <b/>
      <sz val="10"/>
      <color indexed="12"/>
      <name val="Franklin Gothic"/>
      <charset val="204"/>
    </font>
    <font>
      <sz val="10"/>
      <name val="Times New Roman"/>
      <family val="1"/>
    </font>
    <font>
      <sz val="10"/>
      <color indexed="52"/>
      <name val="Arial Cyr"/>
      <family val="2"/>
      <charset val="204"/>
    </font>
    <font>
      <sz val="11"/>
      <color indexed="53"/>
      <name val="Calibri"/>
      <family val="2"/>
      <charset val="204"/>
    </font>
    <font>
      <sz val="11"/>
      <name val="Times New Roman"/>
      <family val="1"/>
      <charset val="204"/>
    </font>
    <font>
      <sz val="10"/>
      <color indexed="60"/>
      <name val="Arial Cyr"/>
      <family val="2"/>
      <charset val="204"/>
    </font>
    <font>
      <sz val="11"/>
      <color indexed="60"/>
      <name val="Calibri"/>
      <family val="2"/>
      <charset val="204"/>
    </font>
    <font>
      <sz val="10"/>
      <name val="Arial CE"/>
      <charset val="238"/>
    </font>
    <font>
      <sz val="10"/>
      <name val="Book Antiqua"/>
      <family val="1"/>
    </font>
    <font>
      <i/>
      <sz val="10"/>
      <name val="Arial"/>
      <family val="2"/>
      <charset val="204"/>
    </font>
    <font>
      <b/>
      <sz val="10"/>
      <color indexed="63"/>
      <name val="Arial Cyr"/>
      <family val="2"/>
      <charset val="204"/>
    </font>
    <font>
      <b/>
      <sz val="11"/>
      <color indexed="63"/>
      <name val="Calibri"/>
      <family val="2"/>
      <charset val="204"/>
    </font>
    <font>
      <sz val="8"/>
      <color indexed="17"/>
      <name val="Arial"/>
      <family val="2"/>
      <charset val="204"/>
    </font>
    <font>
      <b/>
      <sz val="8"/>
      <name val="Helv"/>
    </font>
    <font>
      <b/>
      <sz val="8"/>
      <color indexed="10"/>
      <name val="Times New Roman"/>
      <family val="1"/>
      <charset val="204"/>
    </font>
    <font>
      <b/>
      <sz val="10"/>
      <name val="Book Antiqua"/>
      <family val="1"/>
    </font>
    <font>
      <i/>
      <sz val="10"/>
      <name val="Book Antiqua"/>
      <family val="1"/>
    </font>
    <font>
      <b/>
      <sz val="9"/>
      <color indexed="12"/>
      <name val="Times New Roman"/>
      <family val="1"/>
      <charset val="204"/>
    </font>
    <font>
      <b/>
      <sz val="18"/>
      <color indexed="62"/>
      <name val="Cambria"/>
      <family val="2"/>
      <charset val="204"/>
    </font>
    <font>
      <sz val="12"/>
      <name val="Helv"/>
    </font>
    <font>
      <i/>
      <sz val="8"/>
      <name val="CorpoS"/>
    </font>
    <font>
      <b/>
      <sz val="8"/>
      <color indexed="8"/>
      <name val="Helv"/>
    </font>
    <font>
      <sz val="9"/>
      <name val="Times New Roman"/>
      <family val="1"/>
      <charset val="177"/>
    </font>
    <font>
      <sz val="8"/>
      <color indexed="62"/>
      <name val="Arial Narrow"/>
      <family val="2"/>
      <charset val="177"/>
    </font>
    <font>
      <b/>
      <sz val="10"/>
      <color indexed="10"/>
      <name val="Arial"/>
      <family val="2"/>
    </font>
    <font>
      <b/>
      <sz val="11"/>
      <name val="Times New Roman"/>
      <family val="1"/>
    </font>
    <font>
      <b/>
      <sz val="18"/>
      <color indexed="56"/>
      <name val="Cambria"/>
      <family val="2"/>
      <charset val="204"/>
    </font>
    <font>
      <b/>
      <sz val="11"/>
      <color indexed="12"/>
      <name val="Arial"/>
      <family val="2"/>
      <charset val="177"/>
    </font>
    <font>
      <b/>
      <sz val="8"/>
      <color indexed="62"/>
      <name val="Arial Narrow"/>
      <family val="2"/>
      <charset val="177"/>
    </font>
    <font>
      <b/>
      <sz val="8"/>
      <color indexed="23"/>
      <name val="Arial Narrow"/>
      <family val="2"/>
      <charset val="177"/>
    </font>
    <font>
      <b/>
      <sz val="10"/>
      <color indexed="8"/>
      <name val="Arial Cyr"/>
      <family val="2"/>
      <charset val="204"/>
    </font>
    <font>
      <b/>
      <sz val="8"/>
      <name val="Helvetica"/>
      <family val="2"/>
    </font>
    <font>
      <b/>
      <sz val="8"/>
      <name val="Helvetica"/>
      <family val="2"/>
    </font>
    <font>
      <sz val="10"/>
      <color indexed="10"/>
      <name val="Arial Cyr"/>
      <family val="2"/>
      <charset val="204"/>
    </font>
    <font>
      <sz val="11"/>
      <color indexed="10"/>
      <name val="Calibri"/>
      <family val="2"/>
      <charset val="204"/>
    </font>
    <font>
      <b/>
      <sz val="11"/>
      <color indexed="52"/>
      <name val="Calibri"/>
      <family val="2"/>
      <charset val="204"/>
    </font>
    <font>
      <u/>
      <sz val="8"/>
      <color indexed="12"/>
      <name val="Arial Cyr"/>
      <charset val="204"/>
    </font>
    <font>
      <b/>
      <sz val="15"/>
      <color indexed="56"/>
      <name val="Calibri"/>
      <family val="2"/>
      <charset val="204"/>
    </font>
    <font>
      <b/>
      <sz val="13"/>
      <color indexed="56"/>
      <name val="Calibri"/>
      <family val="2"/>
      <charset val="204"/>
    </font>
    <font>
      <b/>
      <sz val="11"/>
      <color indexed="56"/>
      <name val="Calibri"/>
      <family val="2"/>
      <charset val="204"/>
    </font>
    <font>
      <b/>
      <sz val="14"/>
      <name val="Academy"/>
    </font>
    <font>
      <b/>
      <sz val="8"/>
      <name val="Tahoma"/>
      <family val="2"/>
      <charset val="204"/>
    </font>
    <font>
      <b/>
      <sz val="9"/>
      <color indexed="9"/>
      <name val="Tahoma"/>
      <family val="2"/>
      <charset val="204"/>
    </font>
    <font>
      <sz val="8"/>
      <name val="Arial"/>
      <family val="2"/>
      <charset val="204"/>
    </font>
    <font>
      <sz val="11"/>
      <color indexed="8"/>
      <name val="Tahoma"/>
      <family val="2"/>
      <charset val="204"/>
    </font>
    <font>
      <sz val="10"/>
      <color theme="1"/>
      <name val="Arial Cyr"/>
      <family val="2"/>
      <charset val="204"/>
    </font>
    <font>
      <sz val="8"/>
      <name val="Tahoma"/>
      <family val="2"/>
      <charset val="204"/>
    </font>
    <font>
      <sz val="11"/>
      <color indexed="20"/>
      <name val="Calibri"/>
      <family val="2"/>
      <charset val="204"/>
    </font>
    <font>
      <b/>
      <sz val="8"/>
      <color indexed="32"/>
      <name val="Tahoma"/>
      <family val="2"/>
      <charset val="204"/>
    </font>
    <font>
      <i/>
      <sz val="8"/>
      <name val="Tahoma"/>
      <family val="2"/>
      <charset val="204"/>
    </font>
    <font>
      <sz val="11"/>
      <color indexed="52"/>
      <name val="Calibri"/>
      <family val="2"/>
      <charset val="204"/>
    </font>
    <font>
      <sz val="8"/>
      <name val="Times New Roman"/>
      <family val="1"/>
      <charset val="204"/>
    </font>
    <font>
      <sz val="9"/>
      <name val="Arial Cyr"/>
    </font>
    <font>
      <sz val="10"/>
      <name val="NewtonCTT"/>
    </font>
    <font>
      <sz val="9"/>
      <name val="Arial"/>
      <family val="2"/>
    </font>
    <font>
      <b/>
      <sz val="11"/>
      <color theme="1"/>
      <name val="Times New Roman"/>
      <family val="1"/>
      <charset val="204"/>
    </font>
    <font>
      <i/>
      <sz val="11"/>
      <color theme="1"/>
      <name val="Times New Roman"/>
      <family val="1"/>
      <charset val="204"/>
    </font>
    <font>
      <sz val="11"/>
      <color theme="1"/>
      <name val="Times New Roman"/>
      <family val="1"/>
      <charset val="204"/>
    </font>
    <font>
      <b/>
      <sz val="11"/>
      <color theme="1"/>
      <name val="Calibri"/>
      <family val="2"/>
      <charset val="204"/>
      <scheme val="minor"/>
    </font>
    <font>
      <b/>
      <i/>
      <sz val="11"/>
      <color rgb="FFFF0000"/>
      <name val="Times New Roman"/>
      <family val="1"/>
      <charset val="204"/>
    </font>
    <font>
      <b/>
      <sz val="9"/>
      <color theme="1"/>
      <name val="Times New Roman"/>
      <family val="1"/>
      <charset val="204"/>
    </font>
    <font>
      <b/>
      <sz val="10"/>
      <name val="Times New Roman"/>
      <family val="1"/>
      <charset val="204"/>
    </font>
    <font>
      <i/>
      <sz val="10"/>
      <name val="Times New Roman"/>
      <family val="1"/>
      <charset val="204"/>
    </font>
    <font>
      <b/>
      <i/>
      <sz val="10"/>
      <name val="Times New Roman"/>
      <family val="1"/>
      <charset val="204"/>
    </font>
    <font>
      <b/>
      <u/>
      <sz val="10"/>
      <name val="Times New Roman"/>
      <family val="1"/>
      <charset val="204"/>
    </font>
    <font>
      <b/>
      <sz val="10"/>
      <color indexed="9"/>
      <name val="Times New Roman"/>
      <family val="1"/>
      <charset val="204"/>
    </font>
    <font>
      <b/>
      <sz val="11"/>
      <color rgb="FFFF0000"/>
      <name val="Times New Roman"/>
      <family val="1"/>
      <charset val="204"/>
    </font>
    <font>
      <sz val="11"/>
      <color theme="1"/>
      <name val="Times New Roman"/>
      <family val="2"/>
      <charset val="204"/>
    </font>
    <font>
      <strike/>
      <sz val="10"/>
      <name val="Times New Roman"/>
      <family val="1"/>
      <charset val="204"/>
    </font>
    <font>
      <sz val="10"/>
      <name val="Calibri"/>
      <family val="2"/>
      <charset val="204"/>
      <scheme val="minor"/>
    </font>
    <font>
      <u/>
      <sz val="10"/>
      <name val="Times New Roman"/>
      <family val="1"/>
      <charset val="204"/>
    </font>
    <font>
      <b/>
      <vertAlign val="superscript"/>
      <sz val="10"/>
      <name val="Times New Roman"/>
      <family val="1"/>
      <charset val="204"/>
    </font>
    <font>
      <sz val="10"/>
      <color rgb="FFFF0000"/>
      <name val="Times New Roman"/>
      <family val="1"/>
      <charset val="204"/>
    </font>
  </fonts>
  <fills count="62">
    <fill>
      <patternFill patternType="none"/>
    </fill>
    <fill>
      <patternFill patternType="gray125"/>
    </fill>
    <fill>
      <patternFill patternType="solid">
        <fgColor theme="0"/>
        <bgColor indexed="64"/>
      </patternFill>
    </fill>
    <fill>
      <patternFill patternType="solid">
        <fgColor rgb="FF99CCFF"/>
        <bgColor indexed="64"/>
      </patternFill>
    </fill>
    <fill>
      <patternFill patternType="solid">
        <fgColor rgb="FFFFFFFF"/>
        <bgColor indexed="64"/>
      </patternFill>
    </fill>
    <fill>
      <patternFill patternType="solid">
        <fgColor indexed="18"/>
        <bgColor indexed="64"/>
      </patternFill>
    </fill>
    <fill>
      <patternFill patternType="solid">
        <fgColor indexed="43"/>
        <bgColor indexed="64"/>
      </patternFill>
    </fill>
    <fill>
      <patternFill patternType="solid">
        <fgColor indexed="42"/>
        <bgColor indexed="64"/>
      </patternFill>
    </fill>
    <fill>
      <patternFill patternType="solid">
        <fgColor rgb="FF92D050"/>
        <bgColor indexed="64"/>
      </patternFill>
    </fill>
    <fill>
      <patternFill patternType="lightGray">
        <fgColor indexed="22"/>
      </patternFill>
    </fill>
    <fill>
      <patternFill patternType="solid">
        <fgColor indexed="31"/>
      </patternFill>
    </fill>
    <fill>
      <patternFill patternType="solid">
        <fgColor indexed="9"/>
      </patternFill>
    </fill>
    <fill>
      <patternFill patternType="solid">
        <fgColor indexed="45"/>
      </patternFill>
    </fill>
    <fill>
      <patternFill patternType="solid">
        <fgColor indexed="47"/>
      </patternFill>
    </fill>
    <fill>
      <patternFill patternType="solid">
        <fgColor indexed="42"/>
      </patternFill>
    </fill>
    <fill>
      <patternFill patternType="solid">
        <fgColor indexed="50"/>
      </patternFill>
    </fill>
    <fill>
      <patternFill patternType="solid">
        <fgColor indexed="46"/>
      </patternFill>
    </fill>
    <fill>
      <patternFill patternType="solid">
        <fgColor indexed="27"/>
      </patternFill>
    </fill>
    <fill>
      <patternFill patternType="solid">
        <fgColor indexed="44"/>
      </patternFill>
    </fill>
    <fill>
      <patternFill patternType="solid">
        <fgColor indexed="22"/>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10"/>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25"/>
        <bgColor indexed="25"/>
      </patternFill>
    </fill>
    <fill>
      <patternFill patternType="solid">
        <fgColor indexed="57"/>
      </patternFill>
    </fill>
    <fill>
      <patternFill patternType="solid">
        <fgColor indexed="42"/>
        <bgColor indexed="42"/>
      </patternFill>
    </fill>
    <fill>
      <patternFill patternType="solid">
        <fgColor indexed="27"/>
        <bgColor indexed="27"/>
      </patternFill>
    </fill>
    <fill>
      <patternFill patternType="solid">
        <fgColor indexed="49"/>
        <bgColor indexed="49"/>
      </patternFill>
    </fill>
    <fill>
      <patternFill patternType="solid">
        <fgColor indexed="53"/>
      </patternFill>
    </fill>
    <fill>
      <patternFill patternType="solid">
        <fgColor indexed="47"/>
        <bgColor indexed="47"/>
      </patternFill>
    </fill>
    <fill>
      <patternFill patternType="solid">
        <fgColor indexed="52"/>
        <bgColor indexed="52"/>
      </patternFill>
    </fill>
    <fill>
      <patternFill patternType="solid">
        <fgColor indexed="45"/>
        <bgColor indexed="45"/>
      </patternFill>
    </fill>
    <fill>
      <patternFill patternType="solid">
        <fgColor indexed="9"/>
        <bgColor indexed="9"/>
      </patternFill>
    </fill>
    <fill>
      <patternFill patternType="solid">
        <fgColor indexed="55"/>
      </patternFill>
    </fill>
    <fill>
      <patternFill patternType="solid">
        <fgColor indexed="39"/>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gray0625"/>
    </fill>
    <fill>
      <patternFill patternType="solid">
        <fgColor indexed="43"/>
      </patternFill>
    </fill>
    <fill>
      <patternFill patternType="solid">
        <fgColor indexed="43"/>
        <bgColor indexed="43"/>
      </patternFill>
    </fill>
    <fill>
      <patternFill patternType="solid">
        <fgColor indexed="26"/>
      </patternFill>
    </fill>
    <fill>
      <patternFill patternType="gray125">
        <fgColor indexed="22"/>
      </patternFill>
    </fill>
    <fill>
      <patternFill patternType="solid">
        <fgColor indexed="13"/>
      </patternFill>
    </fill>
    <fill>
      <patternFill patternType="solid">
        <fgColor indexed="32"/>
        <bgColor indexed="64"/>
      </patternFill>
    </fill>
    <fill>
      <patternFill patternType="solid">
        <fgColor indexed="9"/>
        <bgColor indexed="64"/>
      </patternFill>
    </fill>
    <fill>
      <patternFill patternType="solid">
        <fgColor theme="9" tint="0.39997558519241921"/>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30"/>
      </bottom>
      <diagonal/>
    </border>
    <border>
      <left/>
      <right/>
      <top/>
      <bottom style="medium">
        <color indexed="44"/>
      </bottom>
      <diagonal/>
    </border>
    <border>
      <left style="thin">
        <color indexed="22"/>
      </left>
      <right style="thin">
        <color indexed="22"/>
      </right>
      <top style="thin">
        <color indexed="22"/>
      </top>
      <bottom style="thin">
        <color indexed="22"/>
      </bottom>
      <diagonal/>
    </border>
    <border>
      <left style="hair">
        <color indexed="64"/>
      </left>
      <right style="hair">
        <color indexed="64"/>
      </right>
      <top style="hair">
        <color indexed="64"/>
      </top>
      <bottom style="hair">
        <color indexed="64"/>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hair">
        <color indexed="64"/>
      </left>
      <right style="hair">
        <color indexed="62"/>
      </right>
      <top style="hair">
        <color indexed="64"/>
      </top>
      <bottom style="medium">
        <color indexed="62"/>
      </bottom>
      <diagonal/>
    </border>
    <border>
      <left style="thick">
        <color indexed="64"/>
      </left>
      <right style="thin">
        <color indexed="64"/>
      </right>
      <top/>
      <bottom/>
      <diagonal/>
    </border>
    <border>
      <left/>
      <right/>
      <top style="thick">
        <color indexed="62"/>
      </top>
      <bottom style="hair">
        <color indexed="62"/>
      </bottom>
      <diagonal/>
    </border>
    <border>
      <left/>
      <right/>
      <top style="thin">
        <color indexed="62"/>
      </top>
      <bottom style="double">
        <color indexed="62"/>
      </bottom>
      <diagonal/>
    </border>
    <border>
      <left/>
      <right/>
      <top style="thin">
        <color indexed="54"/>
      </top>
      <bottom style="double">
        <color indexed="54"/>
      </bottom>
      <diagonal/>
    </border>
    <border>
      <left/>
      <right/>
      <top style="thin">
        <color indexed="33"/>
      </top>
      <bottom style="thin">
        <color indexed="33"/>
      </bottom>
      <diagonal/>
    </border>
    <border>
      <left/>
      <right/>
      <top/>
      <bottom style="thin">
        <color indexed="33"/>
      </bottom>
      <diagonal/>
    </border>
    <border>
      <left/>
      <right/>
      <top style="thin">
        <color indexed="33"/>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thin">
        <color theme="6" tint="-0.24994659260841701"/>
      </left>
      <right style="thin">
        <color theme="6" tint="-0.24994659260841701"/>
      </right>
      <top style="thin">
        <color theme="6" tint="-0.24994659260841701"/>
      </top>
      <bottom style="thin">
        <color theme="6" tint="-0.24994659260841701"/>
      </bottom>
      <diagonal/>
    </border>
    <border>
      <left style="thin">
        <color theme="6" tint="-0.24994659260841701"/>
      </left>
      <right/>
      <top style="thin">
        <color theme="6" tint="-0.24994659260841701"/>
      </top>
      <bottom style="thin">
        <color theme="6" tint="-0.24994659260841701"/>
      </bottom>
      <diagonal/>
    </border>
    <border>
      <left/>
      <right/>
      <top style="thin">
        <color theme="6" tint="-0.24994659260841701"/>
      </top>
      <bottom style="thin">
        <color theme="6" tint="-0.24994659260841701"/>
      </bottom>
      <diagonal/>
    </border>
    <border>
      <left/>
      <right style="thin">
        <color theme="6" tint="-0.24994659260841701"/>
      </right>
      <top style="thin">
        <color theme="6" tint="-0.24994659260841701"/>
      </top>
      <bottom style="thin">
        <color theme="6" tint="-0.24994659260841701"/>
      </bottom>
      <diagonal/>
    </border>
    <border>
      <left style="thin">
        <color theme="6" tint="-0.24994659260841701"/>
      </left>
      <right style="thin">
        <color theme="6" tint="-0.24994659260841701"/>
      </right>
      <top style="thin">
        <color theme="6" tint="-0.24994659260841701"/>
      </top>
      <bottom/>
      <diagonal/>
    </border>
    <border>
      <left style="thin">
        <color theme="6" tint="-0.24994659260841701"/>
      </left>
      <right style="thin">
        <color theme="6" tint="-0.24994659260841701"/>
      </right>
      <top/>
      <bottom style="thin">
        <color theme="6" tint="-0.24994659260841701"/>
      </bottom>
      <diagonal/>
    </border>
  </borders>
  <cellStyleXfs count="843">
    <xf numFmtId="0" fontId="0" fillId="0" borderId="0"/>
    <xf numFmtId="0" fontId="5" fillId="0" borderId="0"/>
    <xf numFmtId="167" fontId="8" fillId="0" borderId="0" applyFont="0" applyFill="0" applyBorder="0" applyAlignment="0" applyProtection="0"/>
    <xf numFmtId="0" fontId="8" fillId="0" borderId="0"/>
    <xf numFmtId="0" fontId="5" fillId="0" borderId="0" applyNumberFormat="0" applyFont="0" applyAlignment="0"/>
    <xf numFmtId="0" fontId="3" fillId="0" borderId="0"/>
    <xf numFmtId="0" fontId="9" fillId="0" borderId="0"/>
    <xf numFmtId="0" fontId="10" fillId="0" borderId="0"/>
    <xf numFmtId="0" fontId="10" fillId="0" borderId="0"/>
    <xf numFmtId="0" fontId="9" fillId="0" borderId="0"/>
    <xf numFmtId="171" fontId="11" fillId="0" borderId="0" applyNumberFormat="0" applyAlignment="0" applyProtection="0"/>
    <xf numFmtId="0" fontId="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alignment vertical="center"/>
    </xf>
    <xf numFmtId="0" fontId="1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1" fillId="0" borderId="0" applyNumberFormat="0" applyAlignment="0" applyProtection="0"/>
    <xf numFmtId="0" fontId="10" fillId="0" borderId="0"/>
    <xf numFmtId="0" fontId="10" fillId="0" borderId="0"/>
    <xf numFmtId="0" fontId="10" fillId="0" borderId="0"/>
    <xf numFmtId="0" fontId="9" fillId="0" borderId="0"/>
    <xf numFmtId="0" fontId="10" fillId="0" borderId="0"/>
    <xf numFmtId="0" fontId="10" fillId="0" borderId="0"/>
    <xf numFmtId="0" fontId="9" fillId="0" borderId="0"/>
    <xf numFmtId="0" fontId="9" fillId="0" borderId="0"/>
    <xf numFmtId="0" fontId="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71" fontId="9" fillId="0" borderId="0"/>
    <xf numFmtId="0" fontId="10" fillId="0" borderId="0"/>
    <xf numFmtId="0" fontId="10" fillId="0" borderId="0"/>
    <xf numFmtId="0" fontId="9" fillId="0" borderId="0"/>
    <xf numFmtId="0" fontId="9" fillId="0" borderId="0"/>
    <xf numFmtId="0" fontId="9" fillId="0" borderId="0"/>
    <xf numFmtId="4" fontId="14" fillId="0" borderId="0">
      <protection locked="0"/>
    </xf>
    <xf numFmtId="4" fontId="15" fillId="0" borderId="0">
      <protection locked="0"/>
    </xf>
    <xf numFmtId="172" fontId="14" fillId="0" borderId="0">
      <protection locked="0"/>
    </xf>
    <xf numFmtId="172" fontId="15" fillId="0" borderId="0">
      <protection locked="0"/>
    </xf>
    <xf numFmtId="173" fontId="14" fillId="0" borderId="0">
      <protection locked="0"/>
    </xf>
    <xf numFmtId="173" fontId="15" fillId="0" borderId="0">
      <protection locked="0"/>
    </xf>
    <xf numFmtId="0" fontId="12" fillId="0" borderId="0">
      <alignment vertical="center"/>
    </xf>
    <xf numFmtId="0" fontId="13" fillId="0" borderId="0">
      <alignment vertical="center"/>
    </xf>
    <xf numFmtId="174" fontId="16" fillId="0" borderId="0">
      <protection locked="0"/>
    </xf>
    <xf numFmtId="174" fontId="17" fillId="0" borderId="0">
      <protection locked="0"/>
    </xf>
    <xf numFmtId="174" fontId="16" fillId="0" borderId="0">
      <protection locked="0"/>
    </xf>
    <xf numFmtId="174" fontId="17" fillId="0" borderId="0">
      <protection locked="0"/>
    </xf>
    <xf numFmtId="174" fontId="14" fillId="0" borderId="12">
      <protection locked="0"/>
    </xf>
    <xf numFmtId="174" fontId="15" fillId="0" borderId="12">
      <protection locked="0"/>
    </xf>
    <xf numFmtId="175" fontId="18" fillId="0" borderId="0">
      <alignment horizontal="center"/>
    </xf>
    <xf numFmtId="176" fontId="19" fillId="0" borderId="0" applyFont="0" applyAlignment="0" applyProtection="0">
      <protection locked="0" hidden="1"/>
    </xf>
    <xf numFmtId="0" fontId="20" fillId="9" borderId="0"/>
    <xf numFmtId="0" fontId="21" fillId="0" borderId="0"/>
    <xf numFmtId="0" fontId="22" fillId="10" borderId="0" applyNumberFormat="0" applyBorder="0" applyAlignment="0" applyProtection="0"/>
    <xf numFmtId="0" fontId="23" fillId="11" borderId="0" applyNumberFormat="0" applyBorder="0" applyAlignment="0" applyProtection="0"/>
    <xf numFmtId="0" fontId="22" fillId="12" borderId="0" applyNumberFormat="0" applyBorder="0" applyAlignment="0" applyProtection="0"/>
    <xf numFmtId="0" fontId="23" fillId="13" borderId="0" applyNumberFormat="0" applyBorder="0" applyAlignment="0" applyProtection="0"/>
    <xf numFmtId="0" fontId="22" fillId="14" borderId="0" applyNumberFormat="0" applyBorder="0" applyAlignment="0" applyProtection="0"/>
    <xf numFmtId="0" fontId="23" fillId="15" borderId="0" applyNumberFormat="0" applyBorder="0" applyAlignment="0" applyProtection="0"/>
    <xf numFmtId="0" fontId="22" fillId="16" borderId="0" applyNumberFormat="0" applyBorder="0" applyAlignment="0" applyProtection="0"/>
    <xf numFmtId="0" fontId="23" fillId="11" borderId="0" applyNumberFormat="0" applyBorder="0" applyAlignment="0" applyProtection="0"/>
    <xf numFmtId="0" fontId="22" fillId="17" borderId="0" applyNumberFormat="0" applyBorder="0" applyAlignment="0" applyProtection="0"/>
    <xf numFmtId="0" fontId="23" fillId="17" borderId="0" applyNumberFormat="0" applyBorder="0" applyAlignment="0" applyProtection="0"/>
    <xf numFmtId="0" fontId="22" fillId="13" borderId="0" applyNumberFormat="0" applyBorder="0" applyAlignment="0" applyProtection="0"/>
    <xf numFmtId="0" fontId="23" fillId="13"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2" fillId="10"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2" fillId="12"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2" fillId="14"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2" fillId="16"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2" fillId="17" borderId="0" applyNumberFormat="0" applyBorder="0" applyAlignment="0" applyProtection="0"/>
    <xf numFmtId="0" fontId="23" fillId="13" borderId="0" applyNumberFormat="0" applyBorder="0" applyAlignment="0" applyProtection="0"/>
    <xf numFmtId="0" fontId="23" fillId="13" borderId="0" applyNumberFormat="0" applyBorder="0" applyAlignment="0" applyProtection="0"/>
    <xf numFmtId="0" fontId="22" fillId="13" borderId="0" applyNumberFormat="0" applyBorder="0" applyAlignment="0" applyProtection="0"/>
    <xf numFmtId="177" fontId="19" fillId="0" borderId="0" applyFill="0" applyBorder="0" applyProtection="0">
      <alignment horizontal="right"/>
    </xf>
    <xf numFmtId="0" fontId="22" fillId="18" borderId="0" applyNumberFormat="0" applyBorder="0" applyAlignment="0" applyProtection="0"/>
    <xf numFmtId="0" fontId="23" fillId="19" borderId="0" applyNumberFormat="0" applyBorder="0" applyAlignment="0" applyProtection="0"/>
    <xf numFmtId="0" fontId="22" fillId="20" borderId="0" applyNumberFormat="0" applyBorder="0" applyAlignment="0" applyProtection="0"/>
    <xf numFmtId="0" fontId="23" fillId="20" borderId="0" applyNumberFormat="0" applyBorder="0" applyAlignment="0" applyProtection="0"/>
    <xf numFmtId="0" fontId="22" fillId="21" borderId="0" applyNumberFormat="0" applyBorder="0" applyAlignment="0" applyProtection="0"/>
    <xf numFmtId="0" fontId="23" fillId="15" borderId="0" applyNumberFormat="0" applyBorder="0" applyAlignment="0" applyProtection="0"/>
    <xf numFmtId="0" fontId="22" fillId="16" borderId="0" applyNumberFormat="0" applyBorder="0" applyAlignment="0" applyProtection="0"/>
    <xf numFmtId="0" fontId="23" fillId="19" borderId="0" applyNumberFormat="0" applyBorder="0" applyAlignment="0" applyProtection="0"/>
    <xf numFmtId="0" fontId="22" fillId="18" borderId="0" applyNumberFormat="0" applyBorder="0" applyAlignment="0" applyProtection="0"/>
    <xf numFmtId="0" fontId="23" fillId="17" borderId="0" applyNumberFormat="0" applyBorder="0" applyAlignment="0" applyProtection="0"/>
    <xf numFmtId="0" fontId="22" fillId="22" borderId="0" applyNumberFormat="0" applyBorder="0" applyAlignment="0" applyProtection="0"/>
    <xf numFmtId="0" fontId="23" fillId="13"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2" fillId="18"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2" fillId="20"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2" fillId="21"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2" fillId="16"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2" fillId="18" borderId="0" applyNumberFormat="0" applyBorder="0" applyAlignment="0" applyProtection="0"/>
    <xf numFmtId="0" fontId="23" fillId="22" borderId="0" applyNumberFormat="0" applyBorder="0" applyAlignment="0" applyProtection="0"/>
    <xf numFmtId="0" fontId="23" fillId="22" borderId="0" applyNumberFormat="0" applyBorder="0" applyAlignment="0" applyProtection="0"/>
    <xf numFmtId="0" fontId="22" fillId="22" borderId="0" applyNumberFormat="0" applyBorder="0" applyAlignment="0" applyProtection="0"/>
    <xf numFmtId="0" fontId="24" fillId="23" borderId="0" applyNumberFormat="0" applyBorder="0" applyAlignment="0" applyProtection="0"/>
    <xf numFmtId="0" fontId="25" fillId="24" borderId="0" applyNumberFormat="0" applyBorder="0" applyAlignment="0" applyProtection="0"/>
    <xf numFmtId="0" fontId="24" fillId="20" borderId="0" applyNumberFormat="0" applyBorder="0" applyAlignment="0" applyProtection="0"/>
    <xf numFmtId="0" fontId="25" fillId="20" borderId="0" applyNumberFormat="0" applyBorder="0" applyAlignment="0" applyProtection="0"/>
    <xf numFmtId="0" fontId="24" fillId="21" borderId="0" applyNumberFormat="0" applyBorder="0" applyAlignment="0" applyProtection="0"/>
    <xf numFmtId="0" fontId="25" fillId="15" borderId="0" applyNumberFormat="0" applyBorder="0" applyAlignment="0" applyProtection="0"/>
    <xf numFmtId="0" fontId="24" fillId="25" borderId="0" applyNumberFormat="0" applyBorder="0" applyAlignment="0" applyProtection="0"/>
    <xf numFmtId="0" fontId="25" fillId="19" borderId="0" applyNumberFormat="0" applyBorder="0" applyAlignment="0" applyProtection="0"/>
    <xf numFmtId="0" fontId="24" fillId="24" borderId="0" applyNumberFormat="0" applyBorder="0" applyAlignment="0" applyProtection="0"/>
    <xf numFmtId="0" fontId="25" fillId="24" borderId="0" applyNumberFormat="0" applyBorder="0" applyAlignment="0" applyProtection="0"/>
    <xf numFmtId="0" fontId="24" fillId="26" borderId="0" applyNumberFormat="0" applyBorder="0" applyAlignment="0" applyProtection="0"/>
    <xf numFmtId="0" fontId="25" fillId="13"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4" fillId="23" borderId="0" applyNumberFormat="0" applyBorder="0" applyAlignment="0" applyProtection="0"/>
    <xf numFmtId="0" fontId="25" fillId="20" borderId="0" applyNumberFormat="0" applyBorder="0" applyAlignment="0" applyProtection="0"/>
    <xf numFmtId="0" fontId="25" fillId="20" borderId="0" applyNumberFormat="0" applyBorder="0" applyAlignment="0" applyProtection="0"/>
    <xf numFmtId="0" fontId="24" fillId="20" borderId="0" applyNumberFormat="0" applyBorder="0" applyAlignment="0" applyProtection="0"/>
    <xf numFmtId="0" fontId="25" fillId="21" borderId="0" applyNumberFormat="0" applyBorder="0" applyAlignment="0" applyProtection="0"/>
    <xf numFmtId="0" fontId="25" fillId="21" borderId="0" applyNumberFormat="0" applyBorder="0" applyAlignment="0" applyProtection="0"/>
    <xf numFmtId="0" fontId="24" fillId="21"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4" fillId="25"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4" fillId="24" borderId="0" applyNumberFormat="0" applyBorder="0" applyAlignment="0" applyProtection="0"/>
    <xf numFmtId="0" fontId="25" fillId="26" borderId="0" applyNumberFormat="0" applyBorder="0" applyAlignment="0" applyProtection="0"/>
    <xf numFmtId="0" fontId="25" fillId="26" borderId="0" applyNumberFormat="0" applyBorder="0" applyAlignment="0" applyProtection="0"/>
    <xf numFmtId="0" fontId="24" fillId="26" borderId="0" applyNumberFormat="0" applyBorder="0" applyAlignment="0" applyProtection="0"/>
    <xf numFmtId="0" fontId="24" fillId="27" borderId="0" applyNumberFormat="0" applyBorder="0" applyAlignment="0" applyProtection="0"/>
    <xf numFmtId="0" fontId="23" fillId="28" borderId="0" applyNumberFormat="0" applyBorder="0" applyAlignment="0" applyProtection="0"/>
    <xf numFmtId="0" fontId="23" fillId="28" borderId="0" applyNumberFormat="0" applyBorder="0" applyAlignment="0" applyProtection="0"/>
    <xf numFmtId="0" fontId="25" fillId="29"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4" fillId="31" borderId="0" applyNumberFormat="0" applyBorder="0" applyAlignment="0" applyProtection="0"/>
    <xf numFmtId="0" fontId="23" fillId="32" borderId="0" applyNumberFormat="0" applyBorder="0" applyAlignment="0" applyProtection="0"/>
    <xf numFmtId="0" fontId="23" fillId="33"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4" fillId="36" borderId="0" applyNumberFormat="0" applyBorder="0" applyAlignment="0" applyProtection="0"/>
    <xf numFmtId="0" fontId="23" fillId="32" borderId="0" applyNumberFormat="0" applyBorder="0" applyAlignment="0" applyProtection="0"/>
    <xf numFmtId="0" fontId="23" fillId="37" borderId="0" applyNumberFormat="0" applyBorder="0" applyAlignment="0" applyProtection="0"/>
    <xf numFmtId="0" fontId="25" fillId="33" borderId="0" applyNumberFormat="0" applyBorder="0" applyAlignment="0" applyProtection="0"/>
    <xf numFmtId="0" fontId="25" fillId="34" borderId="0" applyNumberFormat="0" applyBorder="0" applyAlignment="0" applyProtection="0"/>
    <xf numFmtId="0" fontId="25" fillId="34" borderId="0" applyNumberFormat="0" applyBorder="0" applyAlignment="0" applyProtection="0"/>
    <xf numFmtId="0" fontId="25" fillId="34" borderId="0" applyNumberFormat="0" applyBorder="0" applyAlignment="0" applyProtection="0"/>
    <xf numFmtId="0" fontId="25" fillId="34" borderId="0" applyNumberFormat="0" applyBorder="0" applyAlignment="0" applyProtection="0"/>
    <xf numFmtId="0" fontId="25" fillId="34" borderId="0" applyNumberFormat="0" applyBorder="0" applyAlignment="0" applyProtection="0"/>
    <xf numFmtId="0" fontId="25" fillId="34" borderId="0" applyNumberFormat="0" applyBorder="0" applyAlignment="0" applyProtection="0"/>
    <xf numFmtId="0" fontId="24" fillId="25" borderId="0" applyNumberFormat="0" applyBorder="0" applyAlignment="0" applyProtection="0"/>
    <xf numFmtId="0" fontId="23" fillId="28" borderId="0" applyNumberFormat="0" applyBorder="0" applyAlignment="0" applyProtection="0"/>
    <xf numFmtId="0" fontId="23" fillId="33" borderId="0" applyNumberFormat="0" applyBorder="0" applyAlignment="0" applyProtection="0"/>
    <xf numFmtId="0" fontId="25" fillId="33"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5" fillId="30" borderId="0" applyNumberFormat="0" applyBorder="0" applyAlignment="0" applyProtection="0"/>
    <xf numFmtId="0" fontId="24" fillId="24" borderId="0" applyNumberFormat="0" applyBorder="0" applyAlignment="0" applyProtection="0"/>
    <xf numFmtId="0" fontId="23" fillId="38" borderId="0" applyNumberFormat="0" applyBorder="0" applyAlignment="0" applyProtection="0"/>
    <xf numFmtId="0" fontId="23" fillId="28" borderId="0" applyNumberFormat="0" applyBorder="0" applyAlignment="0" applyProtection="0"/>
    <xf numFmtId="0" fontId="25" fillId="2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4" fillId="40" borderId="0" applyNumberFormat="0" applyBorder="0" applyAlignment="0" applyProtection="0"/>
    <xf numFmtId="0" fontId="23" fillId="32" borderId="0" applyNumberFormat="0" applyBorder="0" applyAlignment="0" applyProtection="0"/>
    <xf numFmtId="0" fontId="23" fillId="41" borderId="0" applyNumberFormat="0" applyBorder="0" applyAlignment="0" applyProtection="0"/>
    <xf numFmtId="0" fontId="25" fillId="41"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6" fillId="0" borderId="0"/>
    <xf numFmtId="0" fontId="27" fillId="12" borderId="0" applyNumberFormat="0" applyBorder="0" applyAlignment="0" applyProtection="0"/>
    <xf numFmtId="0" fontId="28" fillId="43" borderId="0" applyNumberFormat="0" applyBorder="0" applyAlignment="0" applyProtection="0"/>
    <xf numFmtId="1" fontId="29" fillId="0" borderId="0" applyFill="0" applyBorder="0" applyProtection="0">
      <alignment horizontal="right" wrapText="1"/>
      <protection locked="0"/>
    </xf>
    <xf numFmtId="178" fontId="30" fillId="0" borderId="0" applyFill="0" applyBorder="0" applyProtection="0">
      <alignment horizontal="right"/>
      <protection locked="0"/>
    </xf>
    <xf numFmtId="0" fontId="31" fillId="0" borderId="0" applyNumberFormat="0" applyFill="0" applyBorder="0" applyProtection="0">
      <protection locked="0"/>
    </xf>
    <xf numFmtId="178" fontId="32" fillId="0" borderId="0">
      <protection locked="0"/>
    </xf>
    <xf numFmtId="179" fontId="33" fillId="0" borderId="0" applyFill="0" applyBorder="0" applyProtection="0"/>
    <xf numFmtId="0" fontId="34" fillId="0" borderId="0" applyFill="0" applyBorder="0" applyAlignment="0"/>
    <xf numFmtId="180" fontId="10" fillId="0" borderId="0" applyFill="0" applyBorder="0" applyAlignment="0"/>
    <xf numFmtId="181" fontId="10" fillId="0" borderId="0" applyFill="0" applyBorder="0" applyAlignment="0"/>
    <xf numFmtId="182" fontId="10" fillId="0" borderId="0" applyFill="0" applyBorder="0" applyAlignment="0"/>
    <xf numFmtId="183" fontId="10" fillId="0" borderId="0" applyFill="0" applyBorder="0" applyAlignment="0"/>
    <xf numFmtId="184" fontId="10" fillId="0" borderId="0" applyFill="0" applyBorder="0" applyAlignment="0"/>
    <xf numFmtId="185" fontId="10" fillId="0" borderId="0" applyFill="0" applyBorder="0" applyAlignment="0"/>
    <xf numFmtId="180" fontId="10" fillId="0" borderId="0" applyFill="0" applyBorder="0" applyAlignment="0"/>
    <xf numFmtId="0" fontId="35" fillId="19" borderId="13" applyNumberFormat="0" applyAlignment="0" applyProtection="0"/>
    <xf numFmtId="0" fontId="36" fillId="44" borderId="13" applyNumberFormat="0" applyAlignment="0" applyProtection="0"/>
    <xf numFmtId="171" fontId="37" fillId="0" borderId="0">
      <alignment horizontal="right"/>
    </xf>
    <xf numFmtId="0" fontId="38" fillId="45" borderId="14" applyNumberFormat="0" applyAlignment="0" applyProtection="0"/>
    <xf numFmtId="0" fontId="39" fillId="34" borderId="14" applyNumberFormat="0" applyAlignment="0" applyProtection="0"/>
    <xf numFmtId="1" fontId="40" fillId="0" borderId="0">
      <protection locked="0"/>
    </xf>
    <xf numFmtId="186" fontId="41" fillId="46" borderId="0" applyBorder="0" applyProtection="0">
      <alignment horizontal="centerContinuous"/>
    </xf>
    <xf numFmtId="187" fontId="42" fillId="0" borderId="0"/>
    <xf numFmtId="187" fontId="42" fillId="0" borderId="0"/>
    <xf numFmtId="187" fontId="42" fillId="0" borderId="0"/>
    <xf numFmtId="187" fontId="42" fillId="0" borderId="0"/>
    <xf numFmtId="187" fontId="42" fillId="0" borderId="0"/>
    <xf numFmtId="187" fontId="42" fillId="0" borderId="0"/>
    <xf numFmtId="187" fontId="42" fillId="0" borderId="0"/>
    <xf numFmtId="187" fontId="42" fillId="0" borderId="0"/>
    <xf numFmtId="184" fontId="10"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188" fontId="23" fillId="0" borderId="0" applyFont="0" applyFill="0" applyBorder="0" applyAlignment="0" applyProtection="0"/>
    <xf numFmtId="188" fontId="44" fillId="0" borderId="0" applyFont="0" applyFill="0" applyBorder="0" applyAlignment="0" applyProtection="0"/>
    <xf numFmtId="189" fontId="45" fillId="0" borderId="0" applyFont="0" applyFill="0" applyBorder="0" applyAlignment="0" applyProtection="0"/>
    <xf numFmtId="167" fontId="8" fillId="0" borderId="0" applyFont="0" applyFill="0" applyBorder="0" applyAlignment="0" applyProtection="0"/>
    <xf numFmtId="188" fontId="46"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67" fontId="43" fillId="0" borderId="0" applyFont="0" applyFill="0" applyBorder="0" applyAlignment="0" applyProtection="0"/>
    <xf numFmtId="167" fontId="8"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3" fontId="47" fillId="0" borderId="0" applyFont="0" applyFill="0" applyBorder="0" applyAlignment="0" applyProtection="0"/>
    <xf numFmtId="0" fontId="48" fillId="0" borderId="0" applyNumberFormat="0" applyAlignment="0">
      <alignment horizontal="left"/>
    </xf>
    <xf numFmtId="190" fontId="49" fillId="0" borderId="0" applyFont="0" applyFill="0" applyBorder="0" applyAlignment="0" applyProtection="0">
      <protection locked="0"/>
    </xf>
    <xf numFmtId="191" fontId="49" fillId="0" borderId="0" applyFont="0" applyFill="0" applyBorder="0" applyAlignment="0" applyProtection="0">
      <protection locked="0"/>
    </xf>
    <xf numFmtId="180" fontId="10" fillId="0" borderId="0" applyFont="0" applyFill="0" applyBorder="0" applyAlignment="0" applyProtection="0"/>
    <xf numFmtId="166" fontId="8" fillId="0" borderId="0" applyFont="0" applyFill="0" applyBorder="0" applyAlignment="0" applyProtection="0"/>
    <xf numFmtId="184" fontId="23" fillId="0" borderId="0" applyFont="0" applyFill="0" applyBorder="0" applyAlignment="0" applyProtection="0"/>
    <xf numFmtId="184" fontId="44" fillId="0" borderId="0" applyFont="0" applyFill="0" applyBorder="0" applyAlignment="0" applyProtection="0"/>
    <xf numFmtId="192" fontId="8" fillId="0" borderId="0" applyFont="0" applyFill="0" applyBorder="0" applyAlignment="0" applyProtection="0"/>
    <xf numFmtId="193" fontId="47" fillId="0" borderId="0" applyFont="0" applyFill="0" applyBorder="0" applyAlignment="0" applyProtection="0"/>
    <xf numFmtId="15" fontId="43" fillId="0" borderId="15">
      <protection locked="0"/>
    </xf>
    <xf numFmtId="14" fontId="34" fillId="0" borderId="0" applyFill="0" applyBorder="0" applyAlignment="0"/>
    <xf numFmtId="17" fontId="50" fillId="0" borderId="16"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53" fillId="47" borderId="0" applyNumberFormat="0" applyBorder="0" applyAlignment="0" applyProtection="0"/>
    <xf numFmtId="0" fontId="53" fillId="48" borderId="0" applyNumberFormat="0" applyBorder="0" applyAlignment="0" applyProtection="0"/>
    <xf numFmtId="0" fontId="53" fillId="49" borderId="0" applyNumberFormat="0" applyBorder="0" applyAlignment="0" applyProtection="0"/>
    <xf numFmtId="194" fontId="54" fillId="0" borderId="0"/>
    <xf numFmtId="195" fontId="54" fillId="0" borderId="0"/>
    <xf numFmtId="184" fontId="10" fillId="0" borderId="0" applyFill="0" applyBorder="0" applyAlignment="0"/>
    <xf numFmtId="180" fontId="10" fillId="0" borderId="0" applyFill="0" applyBorder="0" applyAlignment="0"/>
    <xf numFmtId="184" fontId="10" fillId="0" borderId="0" applyFill="0" applyBorder="0" applyAlignment="0"/>
    <xf numFmtId="185" fontId="10" fillId="0" borderId="0" applyFill="0" applyBorder="0" applyAlignment="0"/>
    <xf numFmtId="180" fontId="10" fillId="0" borderId="0" applyFill="0" applyBorder="0" applyAlignment="0"/>
    <xf numFmtId="0" fontId="55" fillId="0" borderId="0" applyNumberFormat="0" applyAlignment="0">
      <alignment horizontal="left"/>
    </xf>
    <xf numFmtId="196"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6"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0" fontId="56" fillId="0" borderId="0" applyNumberFormat="0" applyFill="0" applyBorder="0" applyAlignment="0" applyProtection="0"/>
    <xf numFmtId="0" fontId="57" fillId="0" borderId="0" applyNumberFormat="0" applyFill="0" applyBorder="0" applyAlignment="0" applyProtection="0"/>
    <xf numFmtId="43" fontId="5" fillId="0" borderId="0" applyFont="0" applyFill="0" applyBorder="0" applyAlignment="0" applyProtection="0"/>
    <xf numFmtId="0" fontId="15" fillId="0" borderId="0">
      <protection locked="0"/>
    </xf>
    <xf numFmtId="0" fontId="15" fillId="0" borderId="0">
      <protection locked="0"/>
    </xf>
    <xf numFmtId="0" fontId="15" fillId="0" borderId="0">
      <protection locked="0"/>
    </xf>
    <xf numFmtId="0" fontId="15" fillId="0" borderId="0">
      <protection locked="0"/>
    </xf>
    <xf numFmtId="0" fontId="15" fillId="0" borderId="0">
      <protection locked="0"/>
    </xf>
    <xf numFmtId="0" fontId="15" fillId="0" borderId="0">
      <protection locked="0"/>
    </xf>
    <xf numFmtId="0" fontId="15" fillId="0" borderId="0">
      <protection locked="0"/>
    </xf>
    <xf numFmtId="0" fontId="20" fillId="0" borderId="0"/>
    <xf numFmtId="198" fontId="58" fillId="0" borderId="0" applyFont="0" applyFill="0" applyBorder="0" applyAlignment="0" applyProtection="0">
      <protection locked="0"/>
    </xf>
    <xf numFmtId="13" fontId="58" fillId="0" borderId="0" applyFont="0" applyFill="0" applyBorder="0" applyAlignment="0" applyProtection="0">
      <protection locked="0"/>
    </xf>
    <xf numFmtId="0" fontId="59" fillId="14" borderId="0" applyNumberFormat="0" applyBorder="0" applyAlignment="0" applyProtection="0"/>
    <xf numFmtId="0" fontId="60" fillId="37" borderId="0" applyNumberFormat="0" applyBorder="0" applyAlignment="0" applyProtection="0"/>
    <xf numFmtId="38" fontId="61" fillId="50" borderId="0" applyNumberFormat="0" applyBorder="0" applyAlignment="0" applyProtection="0"/>
    <xf numFmtId="199" fontId="62" fillId="0" borderId="0" applyFill="0" applyBorder="0" applyProtection="0">
      <alignment horizontal="right"/>
      <protection locked="0"/>
    </xf>
    <xf numFmtId="0" fontId="63" fillId="0" borderId="0"/>
    <xf numFmtId="0" fontId="64" fillId="0" borderId="0"/>
    <xf numFmtId="0" fontId="65" fillId="0" borderId="6" applyNumberFormat="0" applyAlignment="0" applyProtection="0">
      <alignment horizontal="left" vertical="center"/>
    </xf>
    <xf numFmtId="0" fontId="65" fillId="0" borderId="17">
      <alignment horizontal="left" vertical="center"/>
    </xf>
    <xf numFmtId="14" fontId="6" fillId="51" borderId="7">
      <alignment horizontal="center" vertical="center" wrapText="1"/>
    </xf>
    <xf numFmtId="0" fontId="66" fillId="0" borderId="18" applyNumberFormat="0" applyFill="0" applyAlignment="0" applyProtection="0"/>
    <xf numFmtId="0" fontId="67" fillId="0" borderId="19" applyNumberFormat="0" applyFill="0" applyAlignment="0" applyProtection="0"/>
    <xf numFmtId="0" fontId="68" fillId="0" borderId="20" applyNumberFormat="0" applyFill="0" applyAlignment="0" applyProtection="0"/>
    <xf numFmtId="0" fontId="69" fillId="0" borderId="20" applyNumberFormat="0" applyFill="0" applyAlignment="0" applyProtection="0"/>
    <xf numFmtId="0" fontId="70" fillId="0" borderId="21" applyNumberFormat="0" applyFill="0" applyAlignment="0" applyProtection="0"/>
    <xf numFmtId="0" fontId="71" fillId="0" borderId="22" applyNumberFormat="0" applyFill="0" applyAlignment="0" applyProtection="0"/>
    <xf numFmtId="0" fontId="70" fillId="0" borderId="0" applyNumberFormat="0" applyFill="0" applyBorder="0" applyAlignment="0" applyProtection="0"/>
    <xf numFmtId="0" fontId="71" fillId="0" borderId="0" applyNumberFormat="0" applyFill="0" applyBorder="0" applyAlignment="0" applyProtection="0"/>
    <xf numFmtId="1" fontId="72" fillId="0" borderId="0"/>
    <xf numFmtId="0" fontId="73" fillId="0" borderId="0" applyNumberFormat="0" applyFill="0" applyBorder="0" applyAlignment="0" applyProtection="0">
      <alignment vertical="top"/>
      <protection locked="0"/>
    </xf>
    <xf numFmtId="0" fontId="74" fillId="0" borderId="0" applyNumberFormat="0" applyFill="0" applyBorder="0" applyAlignment="0" applyProtection="0">
      <alignment vertical="top"/>
      <protection locked="0"/>
    </xf>
    <xf numFmtId="0" fontId="75" fillId="0" borderId="0" applyNumberFormat="0" applyFill="0" applyBorder="0" applyAlignment="0" applyProtection="0"/>
    <xf numFmtId="0" fontId="76"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18" fillId="0" borderId="0"/>
    <xf numFmtId="0" fontId="78" fillId="13" borderId="13" applyNumberFormat="0" applyAlignment="0" applyProtection="0"/>
    <xf numFmtId="10" fontId="61" fillId="52" borderId="1" applyNumberFormat="0" applyBorder="0" applyAlignment="0" applyProtection="0"/>
    <xf numFmtId="37" fontId="79" fillId="53" borderId="0">
      <protection locked="0"/>
    </xf>
    <xf numFmtId="0" fontId="80" fillId="41" borderId="13" applyNumberFormat="0" applyAlignment="0" applyProtection="0"/>
    <xf numFmtId="0" fontId="80" fillId="41" borderId="13" applyNumberFormat="0" applyAlignment="0" applyProtection="0"/>
    <xf numFmtId="200" fontId="81" fillId="6" borderId="23" applyNumberFormat="0" applyFont="0" applyAlignment="0">
      <alignment vertical="center"/>
      <protection locked="0"/>
    </xf>
    <xf numFmtId="0" fontId="80" fillId="41" borderId="13" applyNumberFormat="0" applyAlignment="0" applyProtection="0"/>
    <xf numFmtId="0" fontId="80" fillId="41" borderId="13" applyNumberFormat="0" applyAlignment="0" applyProtection="0"/>
    <xf numFmtId="13" fontId="29" fillId="0" borderId="24" applyNumberFormat="0" applyFont="0" applyFill="0" applyAlignment="0" applyProtection="0">
      <alignment horizontal="right" wrapText="1"/>
      <protection locked="0"/>
    </xf>
    <xf numFmtId="3" fontId="19" fillId="0" borderId="0"/>
    <xf numFmtId="15" fontId="5" fillId="0" borderId="0"/>
    <xf numFmtId="201" fontId="79" fillId="0" borderId="0" applyFont="0" applyFill="0" applyBorder="0" applyAlignment="0" applyProtection="0"/>
    <xf numFmtId="0" fontId="82" fillId="0" borderId="0" applyNumberFormat="0" applyFont="0" applyFill="0" applyBorder="0" applyProtection="0">
      <alignment horizontal="left" vertical="center"/>
    </xf>
    <xf numFmtId="184" fontId="10" fillId="0" borderId="0" applyFill="0" applyBorder="0" applyAlignment="0"/>
    <xf numFmtId="180" fontId="10" fillId="0" borderId="0" applyFill="0" applyBorder="0" applyAlignment="0"/>
    <xf numFmtId="184" fontId="10" fillId="0" borderId="0" applyFill="0" applyBorder="0" applyAlignment="0"/>
    <xf numFmtId="185" fontId="10" fillId="0" borderId="0" applyFill="0" applyBorder="0" applyAlignment="0"/>
    <xf numFmtId="180" fontId="10" fillId="0" borderId="0" applyFill="0" applyBorder="0" applyAlignment="0"/>
    <xf numFmtId="0" fontId="83" fillId="0" borderId="25" applyNumberFormat="0" applyFill="0" applyAlignment="0" applyProtection="0"/>
    <xf numFmtId="0" fontId="84" fillId="0" borderId="25" applyNumberFormat="0" applyFill="0" applyAlignment="0" applyProtection="0"/>
    <xf numFmtId="0" fontId="10" fillId="0" borderId="0"/>
    <xf numFmtId="41" fontId="5" fillId="0" borderId="0" applyFont="0" applyFill="0" applyBorder="0" applyAlignment="0" applyProtection="0"/>
    <xf numFmtId="4" fontId="85" fillId="0" borderId="0" applyFont="0" applyFill="0" applyBorder="0" applyAlignment="0" applyProtection="0"/>
    <xf numFmtId="43" fontId="5" fillId="0" borderId="0" applyFont="0" applyFill="0" applyBorder="0" applyAlignment="0" applyProtection="0"/>
    <xf numFmtId="202" fontId="79" fillId="0" borderId="0" applyFont="0" applyFill="0" applyBorder="0" applyAlignment="0" applyProtection="0"/>
    <xf numFmtId="203" fontId="79" fillId="0" borderId="0" applyFont="0" applyFill="0" applyBorder="0" applyAlignment="0" applyProtection="0"/>
    <xf numFmtId="204" fontId="5" fillId="0" borderId="0" applyFont="0" applyFill="0" applyBorder="0" applyAlignment="0" applyProtection="0"/>
    <xf numFmtId="184" fontId="5" fillId="0" borderId="0" applyFont="0" applyFill="0" applyBorder="0" applyAlignment="0" applyProtection="0"/>
    <xf numFmtId="205" fontId="5" fillId="0" borderId="0" applyFont="0" applyFill="0" applyBorder="0" applyAlignment="0" applyProtection="0"/>
    <xf numFmtId="206" fontId="5" fillId="0" borderId="0" applyFont="0" applyFill="0" applyBorder="0" applyAlignment="0" applyProtection="0"/>
    <xf numFmtId="207" fontId="79" fillId="0" borderId="0" applyFont="0" applyFill="0" applyBorder="0" applyAlignment="0" applyProtection="0"/>
    <xf numFmtId="208" fontId="79" fillId="0" borderId="0" applyFont="0" applyFill="0" applyBorder="0" applyAlignment="0" applyProtection="0"/>
    <xf numFmtId="209" fontId="49" fillId="0" borderId="0" applyFont="0" applyFill="0" applyBorder="0" applyAlignment="0" applyProtection="0"/>
    <xf numFmtId="0" fontId="86" fillId="54" borderId="0" applyNumberFormat="0" applyBorder="0" applyAlignment="0" applyProtection="0"/>
    <xf numFmtId="0" fontId="87" fillId="55" borderId="0" applyNumberFormat="0" applyBorder="0" applyAlignment="0" applyProtection="0"/>
    <xf numFmtId="0" fontId="13" fillId="0" borderId="0"/>
    <xf numFmtId="0" fontId="20" fillId="0" borderId="24"/>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6" fillId="0" borderId="0"/>
    <xf numFmtId="0" fontId="7" fillId="0" borderId="0"/>
    <xf numFmtId="0" fontId="5" fillId="0" borderId="0"/>
    <xf numFmtId="0" fontId="7" fillId="0" borderId="0"/>
    <xf numFmtId="0" fontId="7" fillId="0" borderId="0"/>
    <xf numFmtId="0" fontId="7" fillId="0" borderId="0"/>
    <xf numFmtId="0" fontId="7" fillId="0" borderId="0"/>
    <xf numFmtId="0" fontId="5" fillId="0" borderId="0"/>
    <xf numFmtId="0" fontId="5" fillId="0" borderId="0"/>
    <xf numFmtId="0" fontId="7" fillId="0" borderId="0"/>
    <xf numFmtId="0" fontId="7" fillId="0" borderId="0"/>
    <xf numFmtId="0" fontId="43" fillId="0" borderId="0"/>
    <xf numFmtId="0" fontId="5" fillId="0" borderId="0"/>
    <xf numFmtId="0" fontId="5" fillId="0" borderId="0"/>
    <xf numFmtId="0" fontId="5" fillId="0" borderId="0"/>
    <xf numFmtId="0" fontId="5" fillId="0" borderId="0"/>
    <xf numFmtId="0" fontId="5" fillId="0" borderId="0"/>
    <xf numFmtId="0" fontId="43" fillId="0" borderId="0"/>
    <xf numFmtId="0" fontId="7" fillId="0" borderId="0"/>
    <xf numFmtId="0" fontId="44" fillId="0" borderId="0"/>
    <xf numFmtId="0"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23"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43" fillId="0" borderId="0"/>
    <xf numFmtId="0" fontId="10" fillId="0" borderId="0"/>
    <xf numFmtId="0" fontId="88" fillId="0" borderId="0"/>
    <xf numFmtId="0" fontId="5" fillId="0" borderId="0"/>
    <xf numFmtId="0" fontId="7" fillId="0" borderId="0"/>
    <xf numFmtId="0" fontId="88" fillId="0" borderId="0"/>
    <xf numFmtId="0" fontId="10" fillId="0" borderId="0"/>
    <xf numFmtId="0" fontId="22" fillId="56" borderId="23" applyNumberFormat="0" applyFont="0" applyAlignment="0" applyProtection="0"/>
    <xf numFmtId="0" fontId="8" fillId="32" borderId="23" applyNumberFormat="0" applyFont="0" applyAlignment="0" applyProtection="0"/>
    <xf numFmtId="210" fontId="89" fillId="0" borderId="0" applyFont="0" applyFill="0" applyBorder="0" applyProtection="0">
      <alignment horizontal="center"/>
    </xf>
    <xf numFmtId="211" fontId="90" fillId="0" borderId="0" applyFont="0" applyFill="0" applyBorder="0" applyAlignment="0" applyProtection="0"/>
    <xf numFmtId="212" fontId="19" fillId="0" borderId="0" applyBorder="0" applyProtection="0">
      <protection locked="0" hidden="1"/>
    </xf>
    <xf numFmtId="213" fontId="17" fillId="0" borderId="0">
      <protection locked="0"/>
    </xf>
    <xf numFmtId="0" fontId="91" fillId="19" borderId="26" applyNumberFormat="0" applyAlignment="0" applyProtection="0"/>
    <xf numFmtId="0" fontId="92" fillId="44" borderId="26" applyNumberFormat="0" applyAlignment="0" applyProtection="0"/>
    <xf numFmtId="0" fontId="93" fillId="0" borderId="0" applyNumberFormat="0" applyFill="0" applyBorder="0" applyAlignment="0">
      <protection locked="0"/>
    </xf>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214" fontId="5" fillId="0" borderId="0" applyFont="0" applyFill="0" applyBorder="0" applyAlignment="0" applyProtection="0"/>
    <xf numFmtId="183" fontId="10" fillId="0" borderId="0" applyFont="0" applyFill="0" applyBorder="0" applyAlignment="0" applyProtection="0"/>
    <xf numFmtId="215" fontId="7"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8"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216" fontId="89" fillId="0" borderId="2" applyFont="0" applyFill="0" applyBorder="0" applyAlignment="0" applyProtection="0"/>
    <xf numFmtId="2" fontId="5" fillId="0" borderId="0" applyFont="0" applyFill="0" applyAlignment="0" applyProtection="0"/>
    <xf numFmtId="9" fontId="5" fillId="0" borderId="0" applyNumberFormat="0" applyFill="0" applyBorder="0" applyAlignment="0" applyProtection="0"/>
    <xf numFmtId="184" fontId="10" fillId="0" borderId="0" applyFill="0" applyBorder="0" applyAlignment="0"/>
    <xf numFmtId="180" fontId="10" fillId="0" borderId="0" applyFill="0" applyBorder="0" applyAlignment="0"/>
    <xf numFmtId="184" fontId="10" fillId="0" borderId="0" applyFill="0" applyBorder="0" applyAlignment="0"/>
    <xf numFmtId="185" fontId="10" fillId="0" borderId="0" applyFill="0" applyBorder="0" applyAlignment="0"/>
    <xf numFmtId="180" fontId="10" fillId="0" borderId="0" applyFill="0" applyBorder="0" applyAlignment="0"/>
    <xf numFmtId="192" fontId="72" fillId="0" borderId="0"/>
    <xf numFmtId="0" fontId="94" fillId="0" borderId="0" applyNumberFormat="0" applyFont="0" applyFill="0" applyBorder="0" applyAlignment="0"/>
    <xf numFmtId="0" fontId="95" fillId="0" borderId="0" applyNumberFormat="0" applyFill="0" applyBorder="0" applyProtection="0">
      <protection locked="0"/>
    </xf>
    <xf numFmtId="217" fontId="5" fillId="0" borderId="0" applyNumberFormat="0" applyFill="0" applyBorder="0" applyAlignment="0" applyProtection="0">
      <alignment horizontal="left"/>
    </xf>
    <xf numFmtId="217" fontId="5" fillId="0" borderId="0" applyNumberFormat="0" applyFill="0" applyBorder="0" applyAlignment="0" applyProtection="0">
      <alignment horizontal="left"/>
    </xf>
    <xf numFmtId="217" fontId="5" fillId="0" borderId="0" applyNumberFormat="0" applyFill="0" applyBorder="0" applyAlignment="0" applyProtection="0">
      <alignment horizontal="left"/>
    </xf>
    <xf numFmtId="217" fontId="5" fillId="0" borderId="0" applyNumberFormat="0" applyFill="0" applyBorder="0" applyAlignment="0" applyProtection="0">
      <alignment horizontal="left"/>
    </xf>
    <xf numFmtId="217" fontId="5" fillId="0" borderId="0" applyNumberFormat="0" applyFill="0" applyBorder="0" applyAlignment="0" applyProtection="0">
      <alignment horizontal="left"/>
    </xf>
    <xf numFmtId="217" fontId="5" fillId="0" borderId="0" applyNumberFormat="0" applyFill="0" applyBorder="0" applyAlignment="0" applyProtection="0">
      <alignment horizontal="left"/>
    </xf>
    <xf numFmtId="217" fontId="5" fillId="0" borderId="0" applyNumberFormat="0" applyFill="0" applyBorder="0" applyAlignment="0" applyProtection="0">
      <alignment horizontal="left"/>
    </xf>
    <xf numFmtId="217" fontId="5" fillId="0" borderId="0" applyNumberFormat="0" applyFill="0" applyBorder="0" applyAlignment="0" applyProtection="0">
      <alignment horizontal="left"/>
    </xf>
    <xf numFmtId="218" fontId="96" fillId="0" borderId="8" applyNumberFormat="0" applyFill="0" applyBorder="0" applyAlignment="0" applyProtection="0"/>
    <xf numFmtId="218" fontId="97" fillId="0" borderId="8" applyNumberFormat="0" applyFill="0" applyBorder="0" applyAlignment="0" applyProtection="0"/>
    <xf numFmtId="219" fontId="5" fillId="0" borderId="0" applyFont="0" applyFill="0" applyBorder="0" applyAlignment="0" applyProtection="0"/>
    <xf numFmtId="188" fontId="5" fillId="0" borderId="0" applyFont="0" applyFill="0" applyBorder="0" applyAlignment="0" applyProtection="0"/>
    <xf numFmtId="178" fontId="98" fillId="57" borderId="0" applyNumberFormat="0" applyFont="0" applyBorder="0" applyAlignment="0" applyProtection="0">
      <protection locked="0"/>
    </xf>
    <xf numFmtId="0" fontId="99" fillId="0" borderId="0" applyNumberFormat="0" applyFill="0" applyBorder="0" applyAlignment="0" applyProtection="0"/>
    <xf numFmtId="0" fontId="100" fillId="0" borderId="0" applyNumberFormat="0" applyBorder="0" applyAlignment="0"/>
    <xf numFmtId="0" fontId="101" fillId="0" borderId="0" applyNumberFormat="0" applyBorder="0">
      <alignment horizontal="center" vertical="top" wrapText="1"/>
    </xf>
    <xf numFmtId="0" fontId="10" fillId="0" borderId="27" applyNumberFormat="0" applyFill="0" applyBorder="0" applyAlignment="0"/>
    <xf numFmtId="0" fontId="10" fillId="0" borderId="0"/>
    <xf numFmtId="40" fontId="102" fillId="0" borderId="0" applyBorder="0">
      <alignment horizontal="right"/>
    </xf>
    <xf numFmtId="10" fontId="103" fillId="0" borderId="24">
      <alignment horizontal="center"/>
    </xf>
    <xf numFmtId="38" fontId="103" fillId="0" borderId="24">
      <alignment horizontal="center"/>
    </xf>
    <xf numFmtId="40" fontId="103" fillId="0" borderId="24">
      <alignment horizontal="center"/>
    </xf>
    <xf numFmtId="220" fontId="103" fillId="0" borderId="24">
      <alignment horizontal="center"/>
    </xf>
    <xf numFmtId="171" fontId="104" fillId="0" borderId="28" applyBorder="0" applyAlignment="0"/>
    <xf numFmtId="0" fontId="10" fillId="0" borderId="29" applyNumberFormat="0" applyBorder="0"/>
    <xf numFmtId="49" fontId="34" fillId="0" borderId="0" applyFill="0" applyBorder="0" applyAlignment="0"/>
    <xf numFmtId="221" fontId="10" fillId="0" borderId="0" applyFill="0" applyBorder="0" applyAlignment="0"/>
    <xf numFmtId="222" fontId="10" fillId="0" borderId="0" applyFill="0" applyBorder="0" applyAlignment="0"/>
    <xf numFmtId="0" fontId="105" fillId="0" borderId="0" applyFill="0" applyBorder="0" applyProtection="0">
      <alignment horizontal="left" vertical="top"/>
    </xf>
    <xf numFmtId="40" fontId="106" fillId="0" borderId="0"/>
    <xf numFmtId="0" fontId="107" fillId="0" borderId="0" applyNumberFormat="0" applyFill="0" applyBorder="0" applyAlignment="0" applyProtection="0"/>
    <xf numFmtId="0" fontId="99" fillId="0" borderId="0" applyNumberFormat="0" applyFill="0" applyBorder="0" applyAlignment="0" applyProtection="0"/>
    <xf numFmtId="223" fontId="108" fillId="0" borderId="30"/>
    <xf numFmtId="224" fontId="109" fillId="0" borderId="0"/>
    <xf numFmtId="225" fontId="110" fillId="0" borderId="0"/>
    <xf numFmtId="0" fontId="111" fillId="0" borderId="31" applyNumberFormat="0" applyFill="0" applyAlignment="0" applyProtection="0"/>
    <xf numFmtId="0" fontId="53" fillId="0" borderId="32" applyNumberFormat="0" applyFill="0" applyAlignment="0" applyProtection="0"/>
    <xf numFmtId="226" fontId="72" fillId="0" borderId="0"/>
    <xf numFmtId="227" fontId="5" fillId="0" borderId="0" applyFont="0" applyFill="0" applyBorder="0" applyAlignment="0" applyProtection="0"/>
    <xf numFmtId="2" fontId="72" fillId="0" borderId="0"/>
    <xf numFmtId="0" fontId="112" fillId="0" borderId="0" applyNumberFormat="0" applyFill="0" applyBorder="0" applyAlignment="0">
      <protection locked="0"/>
    </xf>
    <xf numFmtId="0" fontId="113" fillId="0" borderId="0" applyNumberFormat="0" applyFill="0" applyBorder="0" applyAlignment="0">
      <protection locked="0"/>
    </xf>
    <xf numFmtId="0" fontId="20" fillId="0" borderId="0"/>
    <xf numFmtId="228" fontId="79" fillId="0" borderId="0" applyFont="0" applyFill="0" applyBorder="0" applyAlignment="0" applyProtection="0"/>
    <xf numFmtId="229" fontId="5" fillId="0" borderId="0" applyFont="0" applyFill="0" applyBorder="0" applyAlignment="0" applyProtection="0"/>
    <xf numFmtId="230" fontId="5" fillId="0" borderId="0" applyFont="0" applyFill="0" applyBorder="0" applyAlignment="0" applyProtection="0"/>
    <xf numFmtId="231" fontId="20" fillId="0" borderId="0" applyFont="0" applyFill="0" applyBorder="0" applyAlignment="0" applyProtection="0"/>
    <xf numFmtId="0" fontId="114" fillId="0" borderId="0" applyNumberFormat="0" applyFill="0" applyBorder="0" applyAlignment="0" applyProtection="0"/>
    <xf numFmtId="0" fontId="115" fillId="0" borderId="0" applyNumberFormat="0" applyFill="0" applyBorder="0" applyAlignment="0" applyProtection="0"/>
    <xf numFmtId="0" fontId="79" fillId="0" borderId="0" applyNumberFormat="0" applyFont="0" applyFill="0" applyBorder="0" applyProtection="0">
      <alignment horizontal="center" vertical="center" wrapText="1"/>
    </xf>
    <xf numFmtId="0" fontId="58" fillId="58" borderId="0" applyNumberFormat="0" applyFont="0" applyBorder="0" applyAlignment="0" applyProtection="0"/>
    <xf numFmtId="0" fontId="25" fillId="27" borderId="0" applyNumberFormat="0" applyBorder="0" applyAlignment="0" applyProtection="0"/>
    <xf numFmtId="0" fontId="25" fillId="27" borderId="0" applyNumberFormat="0" applyBorder="0" applyAlignment="0" applyProtection="0"/>
    <xf numFmtId="0" fontId="24" fillId="27" borderId="0" applyNumberFormat="0" applyBorder="0" applyAlignment="0" applyProtection="0"/>
    <xf numFmtId="0" fontId="25" fillId="31" borderId="0" applyNumberFormat="0" applyBorder="0" applyAlignment="0" applyProtection="0"/>
    <xf numFmtId="0" fontId="25" fillId="31" borderId="0" applyNumberFormat="0" applyBorder="0" applyAlignment="0" applyProtection="0"/>
    <xf numFmtId="0" fontId="24" fillId="31"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4" fillId="36"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4" fillId="25"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4" fillId="24"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4" fillId="40" borderId="0" applyNumberFormat="0" applyBorder="0" applyAlignment="0" applyProtection="0"/>
    <xf numFmtId="0" fontId="80" fillId="13" borderId="13" applyNumberFormat="0" applyAlignment="0" applyProtection="0"/>
    <xf numFmtId="0" fontId="80" fillId="13" borderId="13" applyNumberFormat="0" applyAlignment="0" applyProtection="0"/>
    <xf numFmtId="0" fontId="78" fillId="13" borderId="13" applyNumberFormat="0" applyAlignment="0" applyProtection="0"/>
    <xf numFmtId="0" fontId="92" fillId="19" borderId="26" applyNumberFormat="0" applyAlignment="0" applyProtection="0"/>
    <xf numFmtId="0" fontId="92" fillId="19" borderId="26" applyNumberFormat="0" applyAlignment="0" applyProtection="0"/>
    <xf numFmtId="0" fontId="91" fillId="19" borderId="26" applyNumberFormat="0" applyAlignment="0" applyProtection="0"/>
    <xf numFmtId="0" fontId="116" fillId="19" borderId="13" applyNumberFormat="0" applyAlignment="0" applyProtection="0"/>
    <xf numFmtId="0" fontId="116" fillId="19" borderId="13" applyNumberFormat="0" applyAlignment="0" applyProtection="0"/>
    <xf numFmtId="0" fontId="35" fillId="19" borderId="13" applyNumberFormat="0" applyAlignment="0" applyProtection="0"/>
    <xf numFmtId="0" fontId="117" fillId="0" borderId="0" applyNumberFormat="0" applyFill="0" applyBorder="0" applyAlignment="0" applyProtection="0">
      <alignment vertical="top"/>
      <protection locked="0"/>
    </xf>
    <xf numFmtId="164" fontId="8" fillId="0" borderId="0" applyFont="0" applyFill="0" applyBorder="0" applyAlignment="0" applyProtection="0"/>
    <xf numFmtId="166" fontId="8" fillId="0" borderId="0" applyFont="0" applyFill="0" applyBorder="0" applyAlignment="0" applyProtection="0"/>
    <xf numFmtId="232" fontId="5" fillId="0" borderId="0" applyFont="0" applyFill="0" applyBorder="0" applyAlignment="0" applyProtection="0"/>
    <xf numFmtId="232" fontId="5" fillId="0" borderId="0" applyFont="0" applyFill="0" applyBorder="0" applyAlignment="0" applyProtection="0"/>
    <xf numFmtId="0" fontId="118" fillId="0" borderId="18" applyNumberFormat="0" applyFill="0" applyAlignment="0" applyProtection="0"/>
    <xf numFmtId="0" fontId="118" fillId="0" borderId="18" applyNumberFormat="0" applyFill="0" applyAlignment="0" applyProtection="0"/>
    <xf numFmtId="0" fontId="66" fillId="0" borderId="18" applyNumberFormat="0" applyFill="0" applyAlignment="0" applyProtection="0"/>
    <xf numFmtId="0" fontId="119" fillId="0" borderId="20" applyNumberFormat="0" applyFill="0" applyAlignment="0" applyProtection="0"/>
    <xf numFmtId="0" fontId="119" fillId="0" borderId="20" applyNumberFormat="0" applyFill="0" applyAlignment="0" applyProtection="0"/>
    <xf numFmtId="0" fontId="68" fillId="0" borderId="20" applyNumberFormat="0" applyFill="0" applyAlignment="0" applyProtection="0"/>
    <xf numFmtId="0" fontId="120" fillId="0" borderId="21" applyNumberFormat="0" applyFill="0" applyAlignment="0" applyProtection="0"/>
    <xf numFmtId="0" fontId="120" fillId="0" borderId="21" applyNumberFormat="0" applyFill="0" applyAlignment="0" applyProtection="0"/>
    <xf numFmtId="0" fontId="70" fillId="0" borderId="21" applyNumberFormat="0" applyFill="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70" fillId="0" borderId="0" applyNumberFormat="0" applyFill="0" applyBorder="0" applyAlignment="0" applyProtection="0"/>
    <xf numFmtId="0" fontId="121" fillId="1" borderId="17">
      <alignment horizontal="left" vertical="center"/>
      <protection locked="0"/>
    </xf>
    <xf numFmtId="0" fontId="53" fillId="0" borderId="31" applyNumberFormat="0" applyFill="0" applyAlignment="0" applyProtection="0"/>
    <xf numFmtId="0" fontId="53" fillId="0" borderId="31" applyNumberFormat="0" applyFill="0" applyAlignment="0" applyProtection="0"/>
    <xf numFmtId="0" fontId="111" fillId="0" borderId="31" applyNumberFormat="0" applyFill="0" applyAlignment="0" applyProtection="0"/>
    <xf numFmtId="0" fontId="122" fillId="0" borderId="33" applyNumberFormat="0" applyAlignment="0">
      <alignment horizontal="left"/>
    </xf>
    <xf numFmtId="0" fontId="39" fillId="45" borderId="14" applyNumberFormat="0" applyAlignment="0" applyProtection="0"/>
    <xf numFmtId="0" fontId="39" fillId="45" borderId="14" applyNumberFormat="0" applyAlignment="0" applyProtection="0"/>
    <xf numFmtId="0" fontId="38" fillId="45" borderId="14" applyNumberFormat="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49" fontId="123" fillId="59" borderId="0">
      <alignment horizontal="left" vertical="center"/>
    </xf>
    <xf numFmtId="0" fontId="87" fillId="54" borderId="0" applyNumberFormat="0" applyBorder="0" applyAlignment="0" applyProtection="0"/>
    <xf numFmtId="0" fontId="87" fillId="54" borderId="0" applyNumberFormat="0" applyBorder="0" applyAlignment="0" applyProtection="0"/>
    <xf numFmtId="0" fontId="86" fillId="54" borderId="0" applyNumberFormat="0" applyBorder="0" applyAlignment="0" applyProtection="0"/>
    <xf numFmtId="0" fontId="43" fillId="0" borderId="0"/>
    <xf numFmtId="0" fontId="8" fillId="0" borderId="0"/>
    <xf numFmtId="0" fontId="5" fillId="0" borderId="0"/>
    <xf numFmtId="0" fontId="5" fillId="0" borderId="0"/>
    <xf numFmtId="0" fontId="124" fillId="0" borderId="0">
      <alignment horizontal="left"/>
    </xf>
    <xf numFmtId="0" fontId="3" fillId="0" borderId="0"/>
    <xf numFmtId="0" fontId="3" fillId="0" borderId="0"/>
    <xf numFmtId="0" fontId="5" fillId="0" borderId="0"/>
    <xf numFmtId="0" fontId="8" fillId="0" borderId="0"/>
    <xf numFmtId="0" fontId="3" fillId="0" borderId="0"/>
    <xf numFmtId="0" fontId="5" fillId="0" borderId="0"/>
    <xf numFmtId="0" fontId="8" fillId="0" borderId="0"/>
    <xf numFmtId="0" fontId="8" fillId="0" borderId="0"/>
    <xf numFmtId="0" fontId="3" fillId="0" borderId="0"/>
    <xf numFmtId="0" fontId="125" fillId="0" borderId="0"/>
    <xf numFmtId="0" fontId="8" fillId="0" borderId="0"/>
    <xf numFmtId="0" fontId="2" fillId="0" borderId="0"/>
    <xf numFmtId="0" fontId="2" fillId="0" borderId="0"/>
    <xf numFmtId="0" fontId="3" fillId="0" borderId="0"/>
    <xf numFmtId="0" fontId="3" fillId="0" borderId="0"/>
    <xf numFmtId="0" fontId="5" fillId="0" borderId="0"/>
    <xf numFmtId="0" fontId="126" fillId="0" borderId="0"/>
    <xf numFmtId="0" fontId="45" fillId="0" borderId="0">
      <protection locked="0"/>
    </xf>
    <xf numFmtId="0" fontId="127" fillId="0" borderId="0" applyNumberFormat="0" applyFont="0" applyFill="0" applyBorder="0">
      <alignment horizontal="left"/>
    </xf>
    <xf numFmtId="0" fontId="128" fillId="12" borderId="0" applyNumberFormat="0" applyBorder="0" applyAlignment="0" applyProtection="0"/>
    <xf numFmtId="0" fontId="128" fillId="12" borderId="0" applyNumberFormat="0" applyBorder="0" applyAlignment="0" applyProtection="0"/>
    <xf numFmtId="0" fontId="27" fillId="12" borderId="0" applyNumberFormat="0" applyBorder="0" applyAlignment="0" applyProtection="0"/>
    <xf numFmtId="0" fontId="129" fillId="0" borderId="34" applyNumberFormat="0">
      <alignment horizontal="right"/>
    </xf>
    <xf numFmtId="0" fontId="127" fillId="0" borderId="35" applyNumberFormat="0" applyAlignment="0">
      <alignment horizontal="left"/>
    </xf>
    <xf numFmtId="0" fontId="57" fillId="0" borderId="0" applyNumberFormat="0" applyFill="0" applyBorder="0" applyAlignment="0" applyProtection="0"/>
    <xf numFmtId="0" fontId="57" fillId="0" borderId="0" applyNumberFormat="0" applyFill="0" applyBorder="0" applyAlignment="0" applyProtection="0"/>
    <xf numFmtId="0" fontId="56" fillId="0" borderId="0" applyNumberFormat="0" applyFill="0" applyBorder="0" applyAlignment="0" applyProtection="0"/>
    <xf numFmtId="0" fontId="8" fillId="56" borderId="23" applyNumberFormat="0" applyFont="0" applyAlignment="0" applyProtection="0"/>
    <xf numFmtId="0" fontId="5" fillId="56" borderId="23" applyNumberFormat="0" applyFont="0" applyAlignment="0" applyProtection="0"/>
    <xf numFmtId="0" fontId="8" fillId="56" borderId="23" applyNumberFormat="0" applyFont="0" applyAlignment="0" applyProtection="0"/>
    <xf numFmtId="0" fontId="22" fillId="56" borderId="23" applyNumberFormat="0" applyFont="0" applyAlignment="0" applyProtection="0"/>
    <xf numFmtId="9" fontId="8"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5" fillId="0" borderId="0" applyFont="0" applyFill="0" applyBorder="0" applyAlignment="0" applyProtection="0"/>
    <xf numFmtId="233" fontId="130" fillId="0" borderId="0" applyFill="0" applyBorder="0"/>
    <xf numFmtId="0" fontId="131" fillId="0" borderId="25" applyNumberFormat="0" applyFill="0" applyAlignment="0" applyProtection="0"/>
    <xf numFmtId="0" fontId="131" fillId="0" borderId="25" applyNumberFormat="0" applyFill="0" applyAlignment="0" applyProtection="0"/>
    <xf numFmtId="0" fontId="83" fillId="0" borderId="25" applyNumberFormat="0" applyFill="0" applyAlignment="0" applyProtection="0"/>
    <xf numFmtId="0" fontId="10" fillId="0" borderId="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32" fillId="60" borderId="0" applyNumberFormat="0" applyFill="0" applyBorder="0" applyAlignment="0"/>
    <xf numFmtId="0" fontId="115" fillId="0" borderId="0" applyNumberFormat="0" applyFill="0" applyBorder="0" applyAlignment="0" applyProtection="0"/>
    <xf numFmtId="0" fontId="115" fillId="0" borderId="0" applyNumberFormat="0" applyFill="0" applyBorder="0" applyAlignment="0" applyProtection="0"/>
    <xf numFmtId="0" fontId="114" fillId="0" borderId="0" applyNumberFormat="0" applyFill="0" applyBorder="0" applyAlignment="0" applyProtection="0"/>
    <xf numFmtId="234" fontId="127" fillId="0" borderId="0" applyFont="0" applyFill="0" applyBorder="0" applyAlignment="0" applyProtection="0"/>
    <xf numFmtId="235" fontId="18" fillId="0" borderId="0" applyFont="0" applyFill="0" applyBorder="0" applyAlignment="0" applyProtection="0"/>
    <xf numFmtId="3" fontId="133" fillId="0" borderId="3" applyFont="0" applyBorder="0">
      <alignment horizontal="right"/>
      <protection locked="0"/>
    </xf>
    <xf numFmtId="3" fontId="134" fillId="0" borderId="1" applyFont="0" applyFill="0" applyBorder="0" applyAlignment="0" applyProtection="0">
      <alignment horizontal="center" vertical="center"/>
      <protection locked="0"/>
    </xf>
    <xf numFmtId="236" fontId="18" fillId="0" borderId="0" applyFont="0" applyFill="0" applyBorder="0" applyAlignment="0" applyProtection="0"/>
    <xf numFmtId="0" fontId="19" fillId="0" borderId="1">
      <alignment horizontal="centerContinuous" vertical="center" wrapText="1"/>
    </xf>
    <xf numFmtId="165" fontId="3" fillId="0" borderId="0" applyFont="0" applyFill="0" applyBorder="0" applyAlignment="0" applyProtection="0"/>
    <xf numFmtId="165" fontId="3" fillId="0" borderId="0" applyFont="0" applyFill="0" applyBorder="0" applyAlignment="0" applyProtection="0"/>
    <xf numFmtId="165" fontId="8"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8" fillId="0" borderId="0" applyFont="0" applyFill="0" applyBorder="0" applyAlignment="0" applyProtection="0"/>
    <xf numFmtId="167" fontId="8" fillId="0" borderId="0" applyFont="0" applyFill="0" applyBorder="0" applyAlignment="0" applyProtection="0"/>
    <xf numFmtId="171" fontId="5" fillId="0" borderId="0" applyFont="0" applyFill="0" applyBorder="0" applyAlignment="0" applyProtection="0"/>
    <xf numFmtId="188" fontId="5" fillId="0" borderId="0" applyFont="0" applyFill="0" applyBorder="0" applyAlignment="0" applyProtection="0"/>
    <xf numFmtId="184" fontId="44" fillId="0" borderId="0" applyFont="0" applyFill="0" applyBorder="0" applyAlignment="0" applyProtection="0"/>
    <xf numFmtId="188" fontId="5" fillId="0" borderId="0" applyFont="0" applyFill="0" applyBorder="0" applyAlignment="0" applyProtection="0"/>
    <xf numFmtId="167" fontId="3" fillId="0" borderId="0" applyFont="0" applyFill="0" applyBorder="0" applyAlignment="0" applyProtection="0"/>
    <xf numFmtId="188" fontId="5"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4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0" fontId="60" fillId="14" borderId="0" applyNumberFormat="0" applyBorder="0" applyAlignment="0" applyProtection="0"/>
    <xf numFmtId="0" fontId="60" fillId="14" borderId="0" applyNumberFormat="0" applyBorder="0" applyAlignment="0" applyProtection="0"/>
    <xf numFmtId="0" fontId="59" fillId="14" borderId="0" applyNumberFormat="0" applyBorder="0" applyAlignment="0" applyProtection="0"/>
    <xf numFmtId="237" fontId="14" fillId="0" borderId="0">
      <protection locked="0"/>
    </xf>
    <xf numFmtId="237" fontId="15" fillId="0" borderId="0">
      <protection locked="0"/>
    </xf>
    <xf numFmtId="0" fontId="135" fillId="0" borderId="1">
      <alignment horizontal="left"/>
    </xf>
    <xf numFmtId="9" fontId="2" fillId="0" borderId="0" applyFont="0" applyFill="0" applyBorder="0" applyAlignment="0" applyProtection="0"/>
    <xf numFmtId="0" fontId="148" fillId="0" borderId="0"/>
  </cellStyleXfs>
  <cellXfs count="144">
    <xf numFmtId="0" fontId="0" fillId="0" borderId="0" xfId="0"/>
    <xf numFmtId="0" fontId="3" fillId="0" borderId="1" xfId="0" applyFont="1" applyFill="1" applyBorder="1" applyAlignment="1">
      <alignment vertical="center" wrapText="1"/>
    </xf>
    <xf numFmtId="0" fontId="1" fillId="0" borderId="0" xfId="0" applyFont="1" applyAlignment="1">
      <alignment vertical="center"/>
    </xf>
    <xf numFmtId="0" fontId="4" fillId="3" borderId="6" xfId="0" applyFont="1" applyFill="1" applyBorder="1" applyAlignment="1">
      <alignment horizontal="center" vertical="center"/>
    </xf>
    <xf numFmtId="0" fontId="4" fillId="3" borderId="6"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vertical="center" wrapText="1"/>
    </xf>
    <xf numFmtId="0" fontId="4" fillId="0" borderId="7" xfId="0" applyFont="1" applyBorder="1" applyAlignment="1">
      <alignment vertical="center" wrapText="1"/>
    </xf>
    <xf numFmtId="0" fontId="3" fillId="0" borderId="3"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3" borderId="5" xfId="0" applyFont="1" applyFill="1" applyBorder="1" applyAlignment="1">
      <alignment vertical="center"/>
    </xf>
    <xf numFmtId="0" fontId="4" fillId="3" borderId="6" xfId="0" applyFont="1" applyFill="1" applyBorder="1" applyAlignment="1">
      <alignment vertical="center"/>
    </xf>
    <xf numFmtId="0" fontId="4" fillId="4" borderId="1" xfId="0" applyFont="1" applyFill="1" applyBorder="1" applyAlignment="1">
      <alignment horizontal="center" vertical="center" wrapText="1"/>
    </xf>
    <xf numFmtId="0" fontId="138" fillId="61" borderId="1" xfId="3" applyFont="1" applyFill="1" applyBorder="1" applyAlignment="1">
      <alignment horizontal="center" vertical="center" wrapText="1"/>
    </xf>
    <xf numFmtId="3" fontId="138" fillId="0" borderId="1" xfId="3" applyNumberFormat="1" applyFont="1" applyBorder="1" applyAlignment="1">
      <alignment horizontal="center" vertical="center" wrapText="1"/>
    </xf>
    <xf numFmtId="165" fontId="138" fillId="61" borderId="1" xfId="3" applyNumberFormat="1" applyFont="1" applyFill="1" applyBorder="1" applyAlignment="1">
      <alignment horizontal="center" vertical="center" wrapText="1"/>
    </xf>
    <xf numFmtId="165" fontId="138" fillId="0" borderId="1" xfId="3" applyNumberFormat="1" applyFont="1" applyFill="1" applyBorder="1" applyAlignment="1">
      <alignment horizontal="center" vertical="center" wrapText="1"/>
    </xf>
    <xf numFmtId="0" fontId="138" fillId="0" borderId="0" xfId="3" applyFont="1" applyAlignment="1">
      <alignment wrapText="1"/>
    </xf>
    <xf numFmtId="10" fontId="138" fillId="0" borderId="0" xfId="760" applyNumberFormat="1" applyFont="1" applyAlignment="1"/>
    <xf numFmtId="10" fontId="138" fillId="0" borderId="1" xfId="760" applyNumberFormat="1" applyFont="1" applyBorder="1" applyAlignment="1">
      <alignment horizontal="center" vertical="center" wrapText="1"/>
    </xf>
    <xf numFmtId="0" fontId="137" fillId="0" borderId="36" xfId="3" applyFont="1" applyBorder="1" applyAlignment="1">
      <alignment horizontal="center" vertical="center" wrapText="1"/>
    </xf>
    <xf numFmtId="0" fontId="137" fillId="0" borderId="1" xfId="3" applyFont="1" applyBorder="1" applyAlignment="1">
      <alignment horizontal="center" vertical="center" wrapText="1"/>
    </xf>
    <xf numFmtId="0" fontId="137" fillId="0" borderId="37" xfId="3" applyFont="1" applyBorder="1" applyAlignment="1">
      <alignment horizontal="right" vertical="center" wrapText="1"/>
    </xf>
    <xf numFmtId="3" fontId="138" fillId="61" borderId="1" xfId="3" applyNumberFormat="1" applyFont="1" applyFill="1" applyBorder="1" applyAlignment="1">
      <alignment horizontal="right" vertical="center" wrapText="1"/>
    </xf>
    <xf numFmtId="3" fontId="138" fillId="0" borderId="1" xfId="3" applyNumberFormat="1" applyFont="1" applyBorder="1" applyAlignment="1">
      <alignment horizontal="right" vertical="center" wrapText="1"/>
    </xf>
    <xf numFmtId="10" fontId="138" fillId="0" borderId="1" xfId="760" applyNumberFormat="1" applyFont="1" applyBorder="1" applyAlignment="1">
      <alignment horizontal="right" vertical="center" wrapText="1"/>
    </xf>
    <xf numFmtId="165" fontId="138" fillId="61" borderId="1" xfId="3" applyNumberFormat="1" applyFont="1" applyFill="1" applyBorder="1" applyAlignment="1">
      <alignment horizontal="right" vertical="center" wrapText="1"/>
    </xf>
    <xf numFmtId="165" fontId="138" fillId="0" borderId="1" xfId="3" applyNumberFormat="1" applyFont="1" applyFill="1" applyBorder="1" applyAlignment="1">
      <alignment horizontal="right" vertical="center" wrapText="1"/>
    </xf>
    <xf numFmtId="9" fontId="138" fillId="61" borderId="1" xfId="841" applyFont="1" applyFill="1" applyBorder="1" applyAlignment="1">
      <alignment horizontal="right" vertical="center" wrapText="1"/>
    </xf>
    <xf numFmtId="0" fontId="4" fillId="3" borderId="38" xfId="0" applyFont="1" applyFill="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vertical="center" wrapText="1"/>
    </xf>
    <xf numFmtId="14" fontId="4" fillId="0" borderId="1" xfId="0" applyNumberFormat="1" applyFont="1" applyBorder="1" applyAlignment="1">
      <alignment vertical="center"/>
    </xf>
    <xf numFmtId="9" fontId="4" fillId="0" borderId="1" xfId="0" applyNumberFormat="1" applyFont="1" applyBorder="1" applyAlignment="1">
      <alignment vertical="center" wrapText="1"/>
    </xf>
    <xf numFmtId="3" fontId="4" fillId="0" borderId="1" xfId="0" applyNumberFormat="1" applyFont="1" applyBorder="1" applyAlignment="1">
      <alignment vertical="center" wrapText="1"/>
    </xf>
    <xf numFmtId="0" fontId="141" fillId="0" borderId="1" xfId="0" applyFont="1" applyBorder="1" applyAlignment="1">
      <alignment vertical="center"/>
    </xf>
    <xf numFmtId="14" fontId="141" fillId="0" borderId="1" xfId="0" applyNumberFormat="1" applyFont="1" applyBorder="1" applyAlignment="1">
      <alignment vertical="center"/>
    </xf>
    <xf numFmtId="0" fontId="141" fillId="0" borderId="1" xfId="0" applyFont="1" applyBorder="1" applyAlignment="1">
      <alignment vertical="center" wrapText="1"/>
    </xf>
    <xf numFmtId="9" fontId="141" fillId="0" borderId="1" xfId="0" applyNumberFormat="1" applyFont="1" applyBorder="1" applyAlignment="1">
      <alignment vertical="center" wrapText="1"/>
    </xf>
    <xf numFmtId="3" fontId="141" fillId="0" borderId="1" xfId="0" applyNumberFormat="1" applyFont="1" applyBorder="1" applyAlignment="1">
      <alignment vertical="center" wrapText="1"/>
    </xf>
    <xf numFmtId="0" fontId="139" fillId="0" borderId="0" xfId="0" applyFont="1"/>
    <xf numFmtId="3" fontId="141" fillId="0" borderId="1" xfId="0" applyNumberFormat="1" applyFont="1" applyBorder="1" applyAlignment="1">
      <alignment vertical="center"/>
    </xf>
    <xf numFmtId="0" fontId="3" fillId="0" borderId="0" xfId="1" applyFont="1" applyBorder="1" applyAlignment="1">
      <alignment vertical="center"/>
    </xf>
    <xf numFmtId="0" fontId="3" fillId="0" borderId="0" xfId="1" applyFont="1" applyAlignment="1">
      <alignment vertical="center"/>
    </xf>
    <xf numFmtId="0" fontId="143" fillId="0" borderId="0" xfId="1" applyFont="1" applyFill="1" applyAlignment="1">
      <alignment horizontal="center" vertical="center"/>
    </xf>
    <xf numFmtId="0" fontId="143" fillId="0" borderId="0" xfId="1" applyFont="1" applyFill="1" applyAlignment="1">
      <alignment vertical="center"/>
    </xf>
    <xf numFmtId="0" fontId="143" fillId="0" borderId="0" xfId="1" applyFont="1" applyFill="1" applyBorder="1" applyAlignment="1">
      <alignment vertical="center"/>
    </xf>
    <xf numFmtId="0" fontId="142" fillId="8" borderId="1" xfId="1" applyFont="1" applyFill="1" applyBorder="1" applyAlignment="1">
      <alignment horizontal="center" vertical="center"/>
    </xf>
    <xf numFmtId="0" fontId="144" fillId="8" borderId="1" xfId="1" applyFont="1" applyFill="1" applyBorder="1" applyAlignment="1">
      <alignment horizontal="center" vertical="center"/>
    </xf>
    <xf numFmtId="0" fontId="142" fillId="0" borderId="0" xfId="1" applyFont="1" applyFill="1" applyBorder="1" applyAlignment="1">
      <alignment vertical="center"/>
    </xf>
    <xf numFmtId="0" fontId="142" fillId="0" borderId="0" xfId="1" applyFont="1" applyFill="1" applyAlignment="1">
      <alignment vertical="center"/>
    </xf>
    <xf numFmtId="0" fontId="142" fillId="6" borderId="1" xfId="1" applyFont="1" applyFill="1" applyBorder="1" applyAlignment="1">
      <alignment horizontal="center" vertical="center"/>
    </xf>
    <xf numFmtId="0" fontId="142" fillId="6" borderId="1" xfId="1" applyFont="1" applyFill="1" applyBorder="1" applyAlignment="1">
      <alignment vertical="center" wrapText="1"/>
    </xf>
    <xf numFmtId="168" fontId="142" fillId="6" borderId="1" xfId="2" applyNumberFormat="1" applyFont="1" applyFill="1" applyBorder="1" applyAlignment="1">
      <alignment vertical="center"/>
    </xf>
    <xf numFmtId="0" fontId="145" fillId="6" borderId="1" xfId="1" applyFont="1" applyFill="1" applyBorder="1" applyAlignment="1">
      <alignment vertical="center"/>
    </xf>
    <xf numFmtId="49" fontId="3" fillId="0" borderId="1" xfId="1" applyNumberFormat="1" applyFont="1" applyFill="1" applyBorder="1" applyAlignment="1">
      <alignment horizontal="center" vertical="center"/>
    </xf>
    <xf numFmtId="0" fontId="3" fillId="0" borderId="1" xfId="1" applyFont="1" applyFill="1" applyBorder="1" applyAlignment="1">
      <alignment vertical="center" wrapText="1"/>
    </xf>
    <xf numFmtId="169" fontId="3" fillId="0" borderId="1" xfId="2" applyNumberFormat="1" applyFont="1" applyFill="1" applyBorder="1" applyAlignment="1">
      <alignment vertical="center"/>
    </xf>
    <xf numFmtId="0" fontId="3" fillId="0" borderId="0" xfId="1" applyFont="1" applyFill="1" applyBorder="1" applyAlignment="1">
      <alignment vertical="center"/>
    </xf>
    <xf numFmtId="0" fontId="3" fillId="0" borderId="0" xfId="1" applyFont="1" applyFill="1" applyAlignment="1">
      <alignment vertical="center"/>
    </xf>
    <xf numFmtId="0" fontId="145" fillId="6" borderId="1" xfId="1" applyFont="1" applyFill="1" applyBorder="1" applyAlignment="1">
      <alignment vertical="center" wrapText="1"/>
    </xf>
    <xf numFmtId="49" fontId="3" fillId="0" borderId="1" xfId="1" applyNumberFormat="1" applyFont="1" applyFill="1" applyBorder="1" applyAlignment="1">
      <alignment vertical="center"/>
    </xf>
    <xf numFmtId="168" fontId="142" fillId="6" borderId="1" xfId="2" applyNumberFormat="1" applyFont="1" applyFill="1" applyBorder="1" applyAlignment="1">
      <alignment horizontal="right" vertical="center"/>
    </xf>
    <xf numFmtId="169" fontId="3" fillId="0" borderId="1" xfId="2" applyNumberFormat="1" applyFont="1" applyFill="1" applyBorder="1" applyAlignment="1">
      <alignment horizontal="right" vertical="center"/>
    </xf>
    <xf numFmtId="168" fontId="142" fillId="7" borderId="1" xfId="2" applyNumberFormat="1" applyFont="1" applyFill="1" applyBorder="1" applyAlignment="1">
      <alignment horizontal="center" vertical="center"/>
    </xf>
    <xf numFmtId="0" fontId="3" fillId="0" borderId="0" xfId="1" applyFont="1" applyBorder="1" applyAlignment="1">
      <alignment horizontal="center" vertical="center"/>
    </xf>
    <xf numFmtId="0" fontId="3" fillId="0" borderId="0" xfId="1" applyFont="1" applyAlignment="1">
      <alignment horizontal="center" vertical="center"/>
    </xf>
    <xf numFmtId="170" fontId="142" fillId="0" borderId="0" xfId="1" applyNumberFormat="1" applyFont="1" applyAlignment="1">
      <alignment horizontal="center" vertical="center"/>
    </xf>
    <xf numFmtId="0" fontId="142" fillId="0" borderId="0" xfId="1" applyFont="1" applyAlignment="1">
      <alignment vertical="center"/>
    </xf>
    <xf numFmtId="0" fontId="146" fillId="5" borderId="9" xfId="1" applyFont="1" applyFill="1" applyBorder="1" applyAlignment="1">
      <alignment horizontal="center" vertical="center" wrapText="1"/>
    </xf>
    <xf numFmtId="0" fontId="146" fillId="5" borderId="10" xfId="1" applyFont="1" applyFill="1" applyBorder="1" applyAlignment="1">
      <alignment horizontal="center" vertical="center" wrapText="1"/>
    </xf>
    <xf numFmtId="0" fontId="146" fillId="5" borderId="11" xfId="1" applyFont="1" applyFill="1" applyBorder="1" applyAlignment="1">
      <alignment horizontal="center" vertical="center" wrapText="1"/>
    </xf>
    <xf numFmtId="0" fontId="142" fillId="0" borderId="0" xfId="1" applyFont="1" applyFill="1" applyBorder="1" applyAlignment="1">
      <alignment vertical="center" wrapText="1"/>
    </xf>
    <xf numFmtId="0" fontId="142" fillId="0" borderId="0" xfId="1" applyFont="1" applyFill="1" applyAlignment="1">
      <alignment vertical="center" wrapText="1"/>
    </xf>
    <xf numFmtId="0" fontId="142" fillId="8" borderId="1" xfId="1" applyFont="1" applyFill="1" applyBorder="1" applyAlignment="1">
      <alignment horizontal="center" vertical="center" wrapText="1"/>
    </xf>
    <xf numFmtId="0" fontId="138" fillId="0" borderId="0" xfId="0" applyFont="1"/>
    <xf numFmtId="0" fontId="138" fillId="0" borderId="0" xfId="0" applyFont="1" applyAlignment="1">
      <alignment horizontal="right"/>
    </xf>
    <xf numFmtId="0" fontId="147" fillId="0" borderId="0" xfId="0" applyFont="1"/>
    <xf numFmtId="3" fontId="138" fillId="0" borderId="1" xfId="3" applyNumberFormat="1" applyFont="1" applyFill="1" applyBorder="1" applyAlignment="1">
      <alignment horizontal="right" vertical="center" wrapText="1"/>
    </xf>
    <xf numFmtId="0" fontId="3" fillId="0" borderId="1" xfId="0" applyFont="1" applyFill="1" applyBorder="1" applyAlignment="1">
      <alignment horizontal="justify" vertical="center" wrapText="1"/>
    </xf>
    <xf numFmtId="0" fontId="3" fillId="0" borderId="1" xfId="0" applyFont="1" applyBorder="1" applyAlignment="1">
      <alignment vertical="center" wrapText="1"/>
    </xf>
    <xf numFmtId="0" fontId="3" fillId="0" borderId="2" xfId="0" applyFont="1" applyFill="1" applyBorder="1" applyAlignment="1">
      <alignment horizontal="left" vertical="center" wrapText="1"/>
    </xf>
    <xf numFmtId="0" fontId="3" fillId="2" borderId="1" xfId="0" applyFont="1" applyFill="1" applyBorder="1" applyAlignment="1">
      <alignment vertical="center" wrapText="1"/>
    </xf>
    <xf numFmtId="0" fontId="149" fillId="0"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0" xfId="0" applyFont="1" applyFill="1" applyBorder="1" applyAlignment="1">
      <alignment horizontal="justify" vertical="center" wrapText="1"/>
    </xf>
    <xf numFmtId="0" fontId="149"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3" fillId="0" borderId="0" xfId="0" applyFont="1" applyFill="1" applyBorder="1" applyAlignment="1">
      <alignment vertical="center" wrapText="1"/>
    </xf>
    <xf numFmtId="0" fontId="3" fillId="0" borderId="1" xfId="0" applyFont="1" applyBorder="1" applyAlignment="1">
      <alignment horizontal="center" vertical="center" wrapText="1"/>
    </xf>
    <xf numFmtId="0" fontId="142" fillId="0" borderId="1" xfId="0" applyFont="1" applyFill="1" applyBorder="1" applyAlignment="1">
      <alignment horizontal="center" vertical="center" wrapText="1"/>
    </xf>
    <xf numFmtId="0" fontId="3" fillId="0" borderId="0" xfId="0" applyFont="1" applyAlignment="1">
      <alignment horizontal="center"/>
    </xf>
    <xf numFmtId="0" fontId="3" fillId="0" borderId="0" xfId="0" applyFont="1"/>
    <xf numFmtId="0" fontId="142" fillId="0" borderId="1" xfId="0" applyFont="1" applyBorder="1" applyAlignment="1">
      <alignment horizontal="center" vertical="center" wrapText="1"/>
    </xf>
    <xf numFmtId="0" fontId="142" fillId="0" borderId="2" xfId="0" applyFont="1" applyBorder="1" applyAlignment="1">
      <alignment horizontal="center" vertical="center" wrapText="1"/>
    </xf>
    <xf numFmtId="0" fontId="142" fillId="2" borderId="1" xfId="0" applyFont="1" applyFill="1" applyBorder="1" applyAlignment="1">
      <alignment horizontal="center" vertical="center" wrapText="1"/>
    </xf>
    <xf numFmtId="0" fontId="3" fillId="0" borderId="0" xfId="0" applyFont="1" applyFill="1"/>
    <xf numFmtId="0" fontId="3" fillId="0" borderId="2" xfId="0" applyFont="1" applyFill="1" applyBorder="1" applyAlignment="1">
      <alignment vertical="center" wrapText="1"/>
    </xf>
    <xf numFmtId="0" fontId="142" fillId="0" borderId="39" xfId="0" applyFont="1" applyFill="1" applyBorder="1" applyAlignment="1">
      <alignment vertical="top"/>
    </xf>
    <xf numFmtId="0" fontId="3" fillId="0" borderId="39" xfId="0" applyFont="1" applyFill="1" applyBorder="1" applyAlignment="1">
      <alignment vertical="top" wrapText="1"/>
    </xf>
    <xf numFmtId="0" fontId="142" fillId="0" borderId="0" xfId="0" applyFont="1" applyAlignment="1">
      <alignment horizontal="left" vertical="center"/>
    </xf>
    <xf numFmtId="0" fontId="142" fillId="0" borderId="0" xfId="0" applyFont="1" applyFill="1" applyAlignment="1">
      <alignment horizontal="left" vertical="center"/>
    </xf>
    <xf numFmtId="0" fontId="3" fillId="0" borderId="0" xfId="0" applyFont="1" applyFill="1" applyAlignment="1">
      <alignment horizontal="center"/>
    </xf>
    <xf numFmtId="0" fontId="142" fillId="0" borderId="2" xfId="0" applyFont="1" applyFill="1" applyBorder="1" applyAlignment="1">
      <alignment horizontal="center" vertical="center" wrapText="1"/>
    </xf>
    <xf numFmtId="0" fontId="3" fillId="0" borderId="39" xfId="3" applyFont="1" applyFill="1" applyBorder="1" applyAlignment="1">
      <alignment vertical="top" wrapText="1"/>
    </xf>
    <xf numFmtId="0" fontId="142" fillId="0" borderId="0" xfId="0" applyFont="1" applyFill="1" applyAlignment="1"/>
    <xf numFmtId="0" fontId="3" fillId="0" borderId="0" xfId="0" applyFont="1" applyFill="1" applyAlignment="1">
      <alignment wrapText="1"/>
    </xf>
    <xf numFmtId="0" fontId="3" fillId="0" borderId="0" xfId="0" applyFont="1" applyFill="1" applyAlignment="1">
      <alignment horizontal="center" wrapText="1"/>
    </xf>
    <xf numFmtId="0" fontId="3" fillId="0" borderId="0" xfId="0" applyFont="1" applyFill="1" applyAlignment="1">
      <alignment horizontal="center" vertical="center"/>
    </xf>
    <xf numFmtId="0" fontId="142" fillId="0" borderId="0" xfId="0" applyFont="1" applyFill="1" applyAlignment="1">
      <alignment horizontal="center" vertical="center" wrapText="1"/>
    </xf>
    <xf numFmtId="0" fontId="3" fillId="0" borderId="0" xfId="0" applyFont="1" applyAlignment="1">
      <alignment wrapText="1"/>
    </xf>
    <xf numFmtId="0" fontId="3" fillId="0" borderId="1" xfId="0" applyFont="1" applyBorder="1" applyAlignment="1">
      <alignment horizontal="center" vertical="center"/>
    </xf>
    <xf numFmtId="0" fontId="3" fillId="0" borderId="1" xfId="0" applyFont="1" applyBorder="1" applyAlignment="1">
      <alignment wrapText="1"/>
    </xf>
    <xf numFmtId="0" fontId="3" fillId="0" borderId="1" xfId="0" applyFont="1" applyBorder="1" applyAlignment="1">
      <alignment vertical="center"/>
    </xf>
    <xf numFmtId="0" fontId="3" fillId="0" borderId="1" xfId="0" applyFont="1" applyBorder="1" applyAlignment="1">
      <alignment horizontal="left" vertical="center" wrapText="1"/>
    </xf>
    <xf numFmtId="0" fontId="3" fillId="0" borderId="2" xfId="0" applyFont="1" applyFill="1" applyBorder="1" applyAlignment="1">
      <alignment horizontal="center" vertical="center" wrapText="1"/>
    </xf>
    <xf numFmtId="0" fontId="153" fillId="0" borderId="1" xfId="0" applyFont="1" applyFill="1" applyBorder="1" applyAlignment="1">
      <alignment horizontal="center" vertical="center" wrapText="1"/>
    </xf>
    <xf numFmtId="0" fontId="142" fillId="0" borderId="0" xfId="0" applyFont="1" applyFill="1"/>
    <xf numFmtId="0" fontId="145" fillId="0" borderId="1" xfId="0" applyFont="1" applyFill="1" applyBorder="1" applyAlignment="1">
      <alignment horizontal="center" vertical="center" wrapText="1"/>
    </xf>
    <xf numFmtId="0" fontId="3" fillId="0" borderId="0" xfId="0" applyFont="1" applyFill="1" applyAlignment="1"/>
    <xf numFmtId="0" fontId="153" fillId="0" borderId="0" xfId="0" applyFont="1" applyFill="1" applyAlignment="1"/>
    <xf numFmtId="0" fontId="150" fillId="0" borderId="43" xfId="3" applyFont="1" applyFill="1" applyBorder="1" applyAlignment="1">
      <alignment vertical="top" wrapText="1"/>
    </xf>
    <xf numFmtId="0" fontId="150" fillId="0" borderId="44" xfId="3" applyFont="1" applyFill="1" applyBorder="1" applyAlignment="1">
      <alignment vertical="top" wrapText="1"/>
    </xf>
    <xf numFmtId="0" fontId="150" fillId="0" borderId="1" xfId="3" applyFont="1" applyFill="1" applyBorder="1" applyAlignment="1">
      <alignment vertical="top" wrapText="1"/>
    </xf>
    <xf numFmtId="0" fontId="3"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40" xfId="0" applyFont="1" applyFill="1" applyBorder="1" applyAlignment="1">
      <alignment horizontal="left" vertical="top" wrapText="1"/>
    </xf>
    <xf numFmtId="0" fontId="3" fillId="0" borderId="41" xfId="0" applyFont="1" applyFill="1" applyBorder="1" applyAlignment="1">
      <alignment horizontal="left" vertical="top" wrapText="1"/>
    </xf>
    <xf numFmtId="0" fontId="3" fillId="0" borderId="42" xfId="0" applyFont="1" applyFill="1" applyBorder="1" applyAlignment="1">
      <alignment horizontal="left" vertical="top" wrapText="1"/>
    </xf>
    <xf numFmtId="0" fontId="142" fillId="0" borderId="15" xfId="0" applyFont="1" applyFill="1" applyBorder="1" applyAlignment="1">
      <alignment horizontal="left" vertical="center"/>
    </xf>
    <xf numFmtId="0" fontId="142" fillId="0" borderId="0" xfId="0" applyFont="1" applyFill="1" applyBorder="1" applyAlignment="1">
      <alignment horizontal="left" vertical="top" wrapText="1"/>
    </xf>
    <xf numFmtId="0" fontId="3" fillId="0" borderId="2" xfId="0" applyFont="1" applyFill="1" applyBorder="1" applyAlignment="1">
      <alignment horizontal="left" vertical="center" wrapText="1"/>
    </xf>
    <xf numFmtId="0" fontId="3" fillId="0" borderId="4" xfId="0" applyFont="1" applyFill="1" applyBorder="1" applyAlignment="1">
      <alignment horizontal="left" vertical="center" wrapText="1"/>
    </xf>
    <xf numFmtId="0" fontId="142" fillId="0" borderId="0" xfId="0" applyFont="1" applyFill="1" applyBorder="1" applyAlignment="1">
      <alignment horizontal="left" wrapText="1"/>
    </xf>
    <xf numFmtId="0" fontId="3" fillId="0" borderId="1" xfId="0" applyFont="1" applyBorder="1" applyAlignment="1">
      <alignment horizontal="left" wrapText="1"/>
    </xf>
    <xf numFmtId="0" fontId="142" fillId="2" borderId="0" xfId="0" applyFont="1" applyFill="1" applyAlignment="1">
      <alignment horizontal="left" vertical="center" wrapText="1"/>
    </xf>
    <xf numFmtId="0" fontId="142" fillId="2" borderId="15" xfId="0" applyFont="1" applyFill="1" applyBorder="1" applyAlignment="1">
      <alignment horizontal="left" vertical="center" wrapText="1"/>
    </xf>
    <xf numFmtId="0" fontId="142" fillId="0" borderId="0" xfId="1" applyFont="1" applyAlignment="1">
      <alignment horizontal="center" vertical="center"/>
    </xf>
    <xf numFmtId="0" fontId="142" fillId="7" borderId="1" xfId="1" applyFont="1" applyFill="1" applyBorder="1" applyAlignment="1">
      <alignment horizontal="center" vertical="center"/>
    </xf>
    <xf numFmtId="0" fontId="140" fillId="0" borderId="8" xfId="3" applyFont="1" applyBorder="1" applyAlignment="1">
      <alignment horizontal="center" vertical="center" wrapText="1"/>
    </xf>
    <xf numFmtId="0" fontId="140" fillId="0" borderId="0" xfId="3" applyFont="1" applyBorder="1" applyAlignment="1">
      <alignment horizontal="center" vertical="center" wrapText="1"/>
    </xf>
    <xf numFmtId="0" fontId="136" fillId="0" borderId="8" xfId="3" applyFont="1" applyBorder="1" applyAlignment="1">
      <alignment horizontal="center" vertical="center" wrapText="1"/>
    </xf>
    <xf numFmtId="0" fontId="136" fillId="0" borderId="0" xfId="3" applyFont="1" applyBorder="1" applyAlignment="1">
      <alignment horizontal="center" vertical="center" wrapText="1"/>
    </xf>
  </cellXfs>
  <cellStyles count="843">
    <cellStyle name="_2008 Гамма бюджет - кап  затраты (3)" xfId="6" xr:uid="{00000000-0005-0000-0000-000000000000}"/>
    <cellStyle name="_BEG" xfId="7" xr:uid="{00000000-0005-0000-0000-000001000000}"/>
    <cellStyle name="_BEGOVAYA REPORT v1" xfId="8" xr:uid="{00000000-0005-0000-0000-000002000000}"/>
    <cellStyle name="_BP_Stanislavsky 1_01 04 06" xfId="9" xr:uid="{00000000-0005-0000-0000-000003000000}"/>
    <cellStyle name="_BSR_ WAWEL_020504_beckup" xfId="10" xr:uid="{00000000-0005-0000-0000-000004000000}"/>
    <cellStyle name="_Cash Flow 16022006 стр 7 Theater" xfId="11" xr:uid="{00000000-0005-0000-0000-000005000000}"/>
    <cellStyle name="_Copy of City hotel model - CS adjusted - 08 May 07.c" xfId="12" xr:uid="{00000000-0005-0000-0000-000006000000}"/>
    <cellStyle name="_Copy of City hotel model - CS adjusted - 08 May 07.c 2" xfId="13" xr:uid="{00000000-0005-0000-0000-000007000000}"/>
    <cellStyle name="_Copy of City hotel model - CS adjusted - 08 May 07.c 3" xfId="14" xr:uid="{00000000-0005-0000-0000-000008000000}"/>
    <cellStyle name="_Copy of City hotel model - CS adjusted - 08 May 07.c 4" xfId="15" xr:uid="{00000000-0005-0000-0000-000009000000}"/>
    <cellStyle name="_Copy of City hotel model - CS adjusted - 08 May 07.c 5" xfId="16" xr:uid="{00000000-0005-0000-0000-00000A000000}"/>
    <cellStyle name="_Copy of City hotel model - CS adjusted - 08 May 07.c 6" xfId="17" xr:uid="{00000000-0005-0000-0000-00000B000000}"/>
    <cellStyle name="_Copy of City hotel model - CS adjusted - 08 May 07.c 7" xfId="18" xr:uid="{00000000-0005-0000-0000-00000C000000}"/>
    <cellStyle name="_Copy of City hotel model - CS adjusted - 08 May 07.c 8" xfId="19" xr:uid="{00000000-0005-0000-0000-00000D000000}"/>
    <cellStyle name="_Copy of City hotel model - CS adjusted - 08 May 07.c_Avion Budget 2009 ver Sawatzky - 09 12 08" xfId="20" xr:uid="{00000000-0005-0000-0000-00000E000000}"/>
    <cellStyle name="_Copy of City hotel model - CS adjusted - 08 May 07.c_Avion Budget 2009 ver Sawatzky - 09 12 08 2" xfId="21" xr:uid="{00000000-0005-0000-0000-00000F000000}"/>
    <cellStyle name="_Copy of City hotel model - CS adjusted - 08 May 07.c_Avion Budget 2009 ver Sawatzky - 09 12 08_Q1 2010" xfId="22" xr:uid="{00000000-0005-0000-0000-000010000000}"/>
    <cellStyle name="_Copy of City hotel model - CS adjusted - 08 May 07.c_DIAPAZON BUDGET Sawatzky 24 12 2009" xfId="23" xr:uid="{00000000-0005-0000-0000-000011000000}"/>
    <cellStyle name="_Copy of City hotel model - CS adjusted - 08 May 07.c_KRUGOZOR BUDGET 2009" xfId="24" xr:uid="{00000000-0005-0000-0000-000012000000}"/>
    <cellStyle name="_Copy of City hotel model - CS adjusted - 08 May 07.c_KRUGOZOR MARKETING REPORT1" xfId="25" xr:uid="{00000000-0005-0000-0000-000013000000}"/>
    <cellStyle name="_Copy of City hotel model - CS adjusted - 08 May 07.c_KRUGOZOR MARKETING REPORT1 2" xfId="26" xr:uid="{00000000-0005-0000-0000-000014000000}"/>
    <cellStyle name="_Copy of City hotel model - CS adjusted - 08 May 07.c_KRUGOZOR MARKETING REPORT1 3" xfId="27" xr:uid="{00000000-0005-0000-0000-000015000000}"/>
    <cellStyle name="_Copy of City hotel model - CS adjusted - 08 May 07.c_KRUGOZOR MARKETING REPORT1 4" xfId="28" xr:uid="{00000000-0005-0000-0000-000016000000}"/>
    <cellStyle name="_Copy of City hotel model - CS adjusted - 08 May 07.c_KRUGOZOR MARKETING REPORT1 5" xfId="29" xr:uid="{00000000-0005-0000-0000-000017000000}"/>
    <cellStyle name="_Copy of City hotel model - CS adjusted - 08 May 07.c_KRUGOZOR MARKETING REPORT1 6" xfId="30" xr:uid="{00000000-0005-0000-0000-000018000000}"/>
    <cellStyle name="_Copy of City hotel model - CS adjusted - 08 May 07.c_KRUGOZOR MARKETING REPORT1 7" xfId="31" xr:uid="{00000000-0005-0000-0000-000019000000}"/>
    <cellStyle name="_Copy of City hotel model - CS adjusted - 08 May 07.c_KRUGOZOR MARKETING REPORT1_Лист1" xfId="32" xr:uid="{00000000-0005-0000-0000-00001A000000}"/>
    <cellStyle name="_Copy of City hotel model - CS adjusted - 08 May 07.c_KRUGOZOR MARKETING REPORT1_Лист1_Отчет по бюджету план-факт" xfId="33" xr:uid="{00000000-0005-0000-0000-00001B000000}"/>
    <cellStyle name="_Copy of City hotel model - CS adjusted - 08 May 07.c_KRUGOZOR MARKETING REPORT1_Март" xfId="34" xr:uid="{00000000-0005-0000-0000-00001C000000}"/>
    <cellStyle name="_Copy of City hotel model - CS adjusted - 08 May 07.c_KRUGOZOR MARKETING REPORT1_Отчет по бюджету план-факт" xfId="35" xr:uid="{00000000-0005-0000-0000-00001D000000}"/>
    <cellStyle name="_Copy of City hotel model - CS adjusted - 08 May 07.c_KRUGOZOR MARKETING REPORT1_Отчет по бюджету план-факт ян" xfId="36" xr:uid="{00000000-0005-0000-0000-00001E000000}"/>
    <cellStyle name="_Copy of City hotel model - CS adjusted - 08 May 07.c_KRUGOZOR MARKETING REPORT1_Отчет по бюджету план-факт.новый" xfId="37" xr:uid="{00000000-0005-0000-0000-00001F000000}"/>
    <cellStyle name="_Copy of City hotel model - CS adjusted - 08 May 07.c_KRUGOZOR MARKETING REPORТ" xfId="38" xr:uid="{00000000-0005-0000-0000-000020000000}"/>
    <cellStyle name="_Copy of City hotel model - CS adjusted - 08 May 07.c_Лист1" xfId="39" xr:uid="{00000000-0005-0000-0000-000021000000}"/>
    <cellStyle name="_Copy of City hotel model - CS adjusted - 08 May 07.c_Лист1_Отчет по бюджету план-факт" xfId="40" xr:uid="{00000000-0005-0000-0000-000022000000}"/>
    <cellStyle name="_Copy of City hotel model - CS adjusted - 08 May 07.c_Март" xfId="41" xr:uid="{00000000-0005-0000-0000-000023000000}"/>
    <cellStyle name="_Copy of City hotel model - CS adjusted - 08 May 07.c_Отчет по бюджету план-факт" xfId="42" xr:uid="{00000000-0005-0000-0000-000024000000}"/>
    <cellStyle name="_Copy of City hotel model - CS adjusted - 08 May 07.c_Отчет по бюджету план-факт ян" xfId="43" xr:uid="{00000000-0005-0000-0000-000025000000}"/>
    <cellStyle name="_Copy of City hotel model - CS adjusted - 08 May 07.c_Отчет по бюджету план-факт.новый" xfId="44" xr:uid="{00000000-0005-0000-0000-000026000000}"/>
    <cellStyle name="_DCF_HG_v.7_2006-2015yrs" xfId="45" xr:uid="{00000000-0005-0000-0000-000027000000}"/>
    <cellStyle name="_DIA_2 - cash flow forecast 04022008(with division by qv)" xfId="46" xr:uid="{00000000-0005-0000-0000-000028000000}"/>
    <cellStyle name="_FFF" xfId="47" xr:uid="{00000000-0005-0000-0000-000029000000}"/>
    <cellStyle name="_FFF_New Form10_2" xfId="48" xr:uid="{00000000-0005-0000-0000-00002A000000}"/>
    <cellStyle name="_FFF_Nsi" xfId="49" xr:uid="{00000000-0005-0000-0000-00002B000000}"/>
    <cellStyle name="_FFF_Nsi_1" xfId="50" xr:uid="{00000000-0005-0000-0000-00002C000000}"/>
    <cellStyle name="_FFF_Nsi_139" xfId="51" xr:uid="{00000000-0005-0000-0000-00002D000000}"/>
    <cellStyle name="_FFF_Nsi_140" xfId="52" xr:uid="{00000000-0005-0000-0000-00002E000000}"/>
    <cellStyle name="_FFF_Nsi_140(Зах)" xfId="53" xr:uid="{00000000-0005-0000-0000-00002F000000}"/>
    <cellStyle name="_FFF_Nsi_140_mod" xfId="54" xr:uid="{00000000-0005-0000-0000-000030000000}"/>
    <cellStyle name="_FFF_Summary" xfId="55" xr:uid="{00000000-0005-0000-0000-000031000000}"/>
    <cellStyle name="_FFF_Tax_form_1кв_3" xfId="56" xr:uid="{00000000-0005-0000-0000-000032000000}"/>
    <cellStyle name="_FFF_БКЭ" xfId="57" xr:uid="{00000000-0005-0000-0000-000033000000}"/>
    <cellStyle name="_Final_Book_010301" xfId="58" xr:uid="{00000000-0005-0000-0000-000034000000}"/>
    <cellStyle name="_Final_Book_010301_New Form10_2" xfId="59" xr:uid="{00000000-0005-0000-0000-000035000000}"/>
    <cellStyle name="_Final_Book_010301_Nsi" xfId="60" xr:uid="{00000000-0005-0000-0000-000036000000}"/>
    <cellStyle name="_Final_Book_010301_Nsi_1" xfId="61" xr:uid="{00000000-0005-0000-0000-000037000000}"/>
    <cellStyle name="_Final_Book_010301_Nsi_139" xfId="62" xr:uid="{00000000-0005-0000-0000-000038000000}"/>
    <cellStyle name="_Final_Book_010301_Nsi_140" xfId="63" xr:uid="{00000000-0005-0000-0000-000039000000}"/>
    <cellStyle name="_Final_Book_010301_Nsi_140(Зах)" xfId="64" xr:uid="{00000000-0005-0000-0000-00003A000000}"/>
    <cellStyle name="_Final_Book_010301_Nsi_140_mod" xfId="65" xr:uid="{00000000-0005-0000-0000-00003B000000}"/>
    <cellStyle name="_Final_Book_010301_Summary" xfId="66" xr:uid="{00000000-0005-0000-0000-00003C000000}"/>
    <cellStyle name="_Final_Book_010301_Tax_form_1кв_3" xfId="67" xr:uid="{00000000-0005-0000-0000-00003D000000}"/>
    <cellStyle name="_Final_Book_010301_БКЭ" xfId="68" xr:uid="{00000000-0005-0000-0000-00003E000000}"/>
    <cellStyle name="_HORUS SCOPE v.1.6" xfId="69" xr:uid="{00000000-0005-0000-0000-00003F000000}"/>
    <cellStyle name="_Kit Capital model - 17 May 07.Adj.SENT" xfId="70" xr:uid="{00000000-0005-0000-0000-000040000000}"/>
    <cellStyle name="_Kit Capital model - 17 May 07.Adj.SENT 2" xfId="71" xr:uid="{00000000-0005-0000-0000-000041000000}"/>
    <cellStyle name="_Kit Capital model - 17 May 07.Adj.SENT_Avion Budget 2009 ver Sawatzky - 09 12 08" xfId="72" xr:uid="{00000000-0005-0000-0000-000042000000}"/>
    <cellStyle name="_Kit Capital model - 17 May 07.Adj.SENT_Avion Budget 2009 ver Sawatzky - 09 12 08 2" xfId="73" xr:uid="{00000000-0005-0000-0000-000043000000}"/>
    <cellStyle name="_Kit Capital model - 17 May 07.Adj.SENT_Avion Budget 2009 ver Sawatzky - 09 12 08_Q1 2010" xfId="74" xr:uid="{00000000-0005-0000-0000-000044000000}"/>
    <cellStyle name="_Kit Capital model - 17 May 07.Adj.SENT_DIAPAZON BUDGET Sawatzky 24 12 2009" xfId="75" xr:uid="{00000000-0005-0000-0000-000045000000}"/>
    <cellStyle name="_Kit Capital model - 17 May 07.Adj.SENT_KRUGOZOR BUDGET 2009" xfId="76" xr:uid="{00000000-0005-0000-0000-000046000000}"/>
    <cellStyle name="_Kit Capital model - 17 May 07.Adj.SENT_KRUGOZOR BUDGET 2009 2" xfId="77" xr:uid="{00000000-0005-0000-0000-000047000000}"/>
    <cellStyle name="_Kit Capital model - 17 May 07.Adj.SENT_KRUGOZOR BUDGET 2009 3" xfId="78" xr:uid="{00000000-0005-0000-0000-000048000000}"/>
    <cellStyle name="_Kit Capital model - 17 May 07.Adj.SENT_KRUGOZOR BUDGET 2009 4" xfId="79" xr:uid="{00000000-0005-0000-0000-000049000000}"/>
    <cellStyle name="_Kit Capital model - 17 May 07.Adj.SENT_KRUGOZOR BUDGET 2009 5" xfId="80" xr:uid="{00000000-0005-0000-0000-00004A000000}"/>
    <cellStyle name="_Kit Capital model - 17 May 07.Adj.SENT_KRUGOZOR BUDGET 2009 6" xfId="81" xr:uid="{00000000-0005-0000-0000-00004B000000}"/>
    <cellStyle name="_Kit Capital model - 17 May 07.Adj.SENT_KRUGOZOR BUDGET 2009 7" xfId="82" xr:uid="{00000000-0005-0000-0000-00004C000000}"/>
    <cellStyle name="_Kit Capital model - 17 May 07.Adj.SENT_KRUGOZOR BUDGET 2009_Март" xfId="83" xr:uid="{00000000-0005-0000-0000-00004D000000}"/>
    <cellStyle name="_Kit Capital model - 17 May 07.Adj.SENT_KRUGOZOR BUDGET 2009_Отчет по бюджету план-факт" xfId="84" xr:uid="{00000000-0005-0000-0000-00004E000000}"/>
    <cellStyle name="_Kit Capital model - 17 May 07.Adj.SENT_KRUGOZOR BUDGET 2009_Отчет по бюджету план-факт ян" xfId="85" xr:uid="{00000000-0005-0000-0000-00004F000000}"/>
    <cellStyle name="_Kit Capital model - 17 May 07.Adj.SENT_KRUGOZOR BUDGET 2009_Отчет по бюджету план-факт.новый" xfId="86" xr:uid="{00000000-0005-0000-0000-000050000000}"/>
    <cellStyle name="_Kit Capital model - 17 May 07.Adj.SENT_KRUGOZOR MARKETING REPORT1" xfId="87" xr:uid="{00000000-0005-0000-0000-000051000000}"/>
    <cellStyle name="_Kit Capital model - 17 May 07.Adj.SENT_KRUGOZOR MARKETING REPORT1_Лист1" xfId="88" xr:uid="{00000000-0005-0000-0000-000052000000}"/>
    <cellStyle name="_Kit Capital model - 17 May 07.Adj.SENT_KRUGOZOR MARKETING REPORT1_Лист1_Отчет по бюджету план-факт" xfId="89" xr:uid="{00000000-0005-0000-0000-000053000000}"/>
    <cellStyle name="_Kit Capital model - 17 May 07.Adj.SENT_KRUGOZOR MARKETING REPORТ" xfId="90" xr:uid="{00000000-0005-0000-0000-000054000000}"/>
    <cellStyle name="_Kit Capital model - 17 May 07.Adj.SENT_KRUGOZOR MARKETING REPORТ 2" xfId="91" xr:uid="{00000000-0005-0000-0000-000055000000}"/>
    <cellStyle name="_Kit Capital model - 17 May 07.Adj.SENT_KRUGOZOR MARKETING REPORТ 3" xfId="92" xr:uid="{00000000-0005-0000-0000-000056000000}"/>
    <cellStyle name="_Kit Capital model - 17 May 07.Adj.SENT_KRUGOZOR MARKETING REPORТ 4" xfId="93" xr:uid="{00000000-0005-0000-0000-000057000000}"/>
    <cellStyle name="_Kit Capital model - 17 May 07.Adj.SENT_KRUGOZOR MARKETING REPORТ 5" xfId="94" xr:uid="{00000000-0005-0000-0000-000058000000}"/>
    <cellStyle name="_Kit Capital model - 17 May 07.Adj.SENT_KRUGOZOR MARKETING REPORТ 6" xfId="95" xr:uid="{00000000-0005-0000-0000-000059000000}"/>
    <cellStyle name="_Kit Capital model - 17 May 07.Adj.SENT_KRUGOZOR MARKETING REPORТ 7" xfId="96" xr:uid="{00000000-0005-0000-0000-00005A000000}"/>
    <cellStyle name="_Kit Capital model - 17 May 07.Adj.SENT_KRUGOZOR MARKETING REPORТ_Март" xfId="97" xr:uid="{00000000-0005-0000-0000-00005B000000}"/>
    <cellStyle name="_Kit Capital model - 17 May 07.Adj.SENT_KRUGOZOR MARKETING REPORТ_Отчет по бюджету план-факт" xfId="98" xr:uid="{00000000-0005-0000-0000-00005C000000}"/>
    <cellStyle name="_Kit Capital model - 17 May 07.Adj.SENT_KRUGOZOR MARKETING REPORТ_Отчет по бюджету план-факт ян" xfId="99" xr:uid="{00000000-0005-0000-0000-00005D000000}"/>
    <cellStyle name="_Kit Capital model - 17 May 07.Adj.SENT_KRUGOZOR MARKETING REPORТ_Отчет по бюджету план-факт.новый" xfId="100" xr:uid="{00000000-0005-0000-0000-00005E000000}"/>
    <cellStyle name="_Kit Capital model - 17 May 07.Adj.SENT_Лист1" xfId="101" xr:uid="{00000000-0005-0000-0000-00005F000000}"/>
    <cellStyle name="_Kit Capital model - 17 May 07.Adj.SENT_Лист1_Отчет по бюджету план-факт" xfId="102" xr:uid="{00000000-0005-0000-0000-000060000000}"/>
    <cellStyle name="_New_Sofi" xfId="103" xr:uid="{00000000-0005-0000-0000-000061000000}"/>
    <cellStyle name="_New_Sofi_FFF" xfId="104" xr:uid="{00000000-0005-0000-0000-000062000000}"/>
    <cellStyle name="_New_Sofi_New Form10_2" xfId="105" xr:uid="{00000000-0005-0000-0000-000063000000}"/>
    <cellStyle name="_New_Sofi_Nsi" xfId="106" xr:uid="{00000000-0005-0000-0000-000064000000}"/>
    <cellStyle name="_New_Sofi_Nsi_1" xfId="107" xr:uid="{00000000-0005-0000-0000-000065000000}"/>
    <cellStyle name="_New_Sofi_Nsi_139" xfId="108" xr:uid="{00000000-0005-0000-0000-000066000000}"/>
    <cellStyle name="_New_Sofi_Nsi_140" xfId="109" xr:uid="{00000000-0005-0000-0000-000067000000}"/>
    <cellStyle name="_New_Sofi_Nsi_140(Зах)" xfId="110" xr:uid="{00000000-0005-0000-0000-000068000000}"/>
    <cellStyle name="_New_Sofi_Nsi_140_mod" xfId="111" xr:uid="{00000000-0005-0000-0000-000069000000}"/>
    <cellStyle name="_New_Sofi_Summary" xfId="112" xr:uid="{00000000-0005-0000-0000-00006A000000}"/>
    <cellStyle name="_New_Sofi_Tax_form_1кв_3" xfId="113" xr:uid="{00000000-0005-0000-0000-00006B000000}"/>
    <cellStyle name="_New_Sofi_БКЭ" xfId="114" xr:uid="{00000000-0005-0000-0000-00006C000000}"/>
    <cellStyle name="_Nsi" xfId="115" xr:uid="{00000000-0005-0000-0000-00006D000000}"/>
    <cellStyle name="_PIL MODEL v2" xfId="116" xr:uid="{00000000-0005-0000-0000-00006E000000}"/>
    <cellStyle name="_project budget_Begovaya_12_02_08 (with division by qv)" xfId="117" xr:uid="{00000000-0005-0000-0000-00006F000000}"/>
    <cellStyle name="_БП_24 02 2006_новый (2)" xfId="118" xr:uid="{00000000-0005-0000-0000-000070000000}"/>
    <cellStyle name="_брукс" xfId="119" xr:uid="{00000000-0005-0000-0000-000071000000}"/>
    <cellStyle name="_Бюджет исполнение ПМЗР январь-октябрь 2005 (3)" xfId="120" xr:uid="{00000000-0005-0000-0000-000072000000}"/>
    <cellStyle name="_Все поправки" xfId="121" xr:uid="{00000000-0005-0000-0000-000073000000}"/>
    <cellStyle name="_ДДП" xfId="122" xr:uid="{00000000-0005-0000-0000-000074000000}"/>
    <cellStyle name="_Дозакл 5 мес.2000" xfId="123" xr:uid="{00000000-0005-0000-0000-000075000000}"/>
    <cellStyle name="_Итог" xfId="124" xr:uid="{00000000-0005-0000-0000-000076000000}"/>
    <cellStyle name="_Книга2" xfId="125" xr:uid="{00000000-0005-0000-0000-000077000000}"/>
    <cellStyle name="_Книга3" xfId="126" xr:uid="{00000000-0005-0000-0000-000078000000}"/>
    <cellStyle name="_Книга3_New Form10_2" xfId="127" xr:uid="{00000000-0005-0000-0000-000079000000}"/>
    <cellStyle name="_Книга3_Nsi" xfId="128" xr:uid="{00000000-0005-0000-0000-00007A000000}"/>
    <cellStyle name="_Книга3_Nsi_1" xfId="129" xr:uid="{00000000-0005-0000-0000-00007B000000}"/>
    <cellStyle name="_Книга3_Nsi_139" xfId="130" xr:uid="{00000000-0005-0000-0000-00007C000000}"/>
    <cellStyle name="_Книга3_Nsi_140" xfId="131" xr:uid="{00000000-0005-0000-0000-00007D000000}"/>
    <cellStyle name="_Книга3_Nsi_140(Зах)" xfId="132" xr:uid="{00000000-0005-0000-0000-00007E000000}"/>
    <cellStyle name="_Книга3_Nsi_140_mod" xfId="133" xr:uid="{00000000-0005-0000-0000-00007F000000}"/>
    <cellStyle name="_Книга3_Summary" xfId="134" xr:uid="{00000000-0005-0000-0000-000080000000}"/>
    <cellStyle name="_Книга3_Tax_form_1кв_3" xfId="135" xr:uid="{00000000-0005-0000-0000-000081000000}"/>
    <cellStyle name="_Книга3_БКЭ" xfId="136" xr:uid="{00000000-0005-0000-0000-000082000000}"/>
    <cellStyle name="_Книга7" xfId="137" xr:uid="{00000000-0005-0000-0000-000083000000}"/>
    <cellStyle name="_Книга7_New Form10_2" xfId="138" xr:uid="{00000000-0005-0000-0000-000084000000}"/>
    <cellStyle name="_Книга7_Nsi" xfId="139" xr:uid="{00000000-0005-0000-0000-000085000000}"/>
    <cellStyle name="_Книга7_Nsi_1" xfId="140" xr:uid="{00000000-0005-0000-0000-000086000000}"/>
    <cellStyle name="_Книга7_Nsi_139" xfId="141" xr:uid="{00000000-0005-0000-0000-000087000000}"/>
    <cellStyle name="_Книга7_Nsi_140" xfId="142" xr:uid="{00000000-0005-0000-0000-000088000000}"/>
    <cellStyle name="_Книга7_Nsi_140(Зах)" xfId="143" xr:uid="{00000000-0005-0000-0000-000089000000}"/>
    <cellStyle name="_Книга7_Nsi_140_mod" xfId="144" xr:uid="{00000000-0005-0000-0000-00008A000000}"/>
    <cellStyle name="_Книга7_Summary" xfId="145" xr:uid="{00000000-0005-0000-0000-00008B000000}"/>
    <cellStyle name="_Книга7_Tax_form_1кв_3" xfId="146" xr:uid="{00000000-0005-0000-0000-00008C000000}"/>
    <cellStyle name="_Книга7_БКЭ" xfId="147" xr:uid="{00000000-0005-0000-0000-00008D000000}"/>
    <cellStyle name="_Копия Проект бюджета Цветной 2007-8-9" xfId="148" xr:uid="{00000000-0005-0000-0000-00008E000000}"/>
    <cellStyle name="_Ликвидационная ст-ть для оборудования" xfId="149" xr:uid="{00000000-0005-0000-0000-00008F000000}"/>
    <cellStyle name="_Офис_расчет_Кутузова" xfId="150" xr:uid="{00000000-0005-0000-0000-000090000000}"/>
    <cellStyle name="_расчеты" xfId="151" xr:uid="{00000000-0005-0000-0000-000091000000}"/>
    <cellStyle name="_расчеты Саратов" xfId="152" xr:uid="{00000000-0005-0000-0000-000092000000}"/>
    <cellStyle name="_эксплуатация_Лефорт_на_квм_общей_площади" xfId="153" xr:uid="{00000000-0005-0000-0000-000093000000}"/>
    <cellStyle name="”ЌЂЌ‘Ћ‚›‰" xfId="154" xr:uid="{00000000-0005-0000-0000-000094000000}"/>
    <cellStyle name="”ЌЂЌ‘Ћ‚›‰ 2" xfId="155" xr:uid="{00000000-0005-0000-0000-000095000000}"/>
    <cellStyle name="”љ‘ђЋ‚ЂЌЌ›‰" xfId="156" xr:uid="{00000000-0005-0000-0000-000096000000}"/>
    <cellStyle name="”љ‘ђЋ‚ЂЌЌ›‰ 2" xfId="157" xr:uid="{00000000-0005-0000-0000-000097000000}"/>
    <cellStyle name="„…Ќ…†Ќ›‰" xfId="158" xr:uid="{00000000-0005-0000-0000-000098000000}"/>
    <cellStyle name="„…Ќ…†Ќ›‰ 2" xfId="159" xr:uid="{00000000-0005-0000-0000-000099000000}"/>
    <cellStyle name="=D:\WINNT\SYSTEM32\COMMAND.COM" xfId="160" xr:uid="{00000000-0005-0000-0000-00009A000000}"/>
    <cellStyle name="=D:\WINNT\SYSTEM32\COMMAND.COM 2" xfId="161" xr:uid="{00000000-0005-0000-0000-00009B000000}"/>
    <cellStyle name="‡ЂѓЋ‹Ћ‚Ћљ1" xfId="162" xr:uid="{00000000-0005-0000-0000-00009C000000}"/>
    <cellStyle name="‡ЂѓЋ‹Ћ‚Ћљ1 2" xfId="163" xr:uid="{00000000-0005-0000-0000-00009D000000}"/>
    <cellStyle name="‡ЂѓЋ‹Ћ‚Ћљ2" xfId="164" xr:uid="{00000000-0005-0000-0000-00009E000000}"/>
    <cellStyle name="‡ЂѓЋ‹Ћ‚Ћљ2 2" xfId="165" xr:uid="{00000000-0005-0000-0000-00009F000000}"/>
    <cellStyle name="’ЋѓЋ‚›‰" xfId="166" xr:uid="{00000000-0005-0000-0000-0000A0000000}"/>
    <cellStyle name="’ЋѓЋ‚›‰ 2" xfId="167" xr:uid="{00000000-0005-0000-0000-0000A1000000}"/>
    <cellStyle name="0,00;0;" xfId="168" xr:uid="{00000000-0005-0000-0000-0000A2000000}"/>
    <cellStyle name="1decimal" xfId="169" xr:uid="{00000000-0005-0000-0000-0000A3000000}"/>
    <cellStyle name="1Normal" xfId="170" xr:uid="{00000000-0005-0000-0000-0000A4000000}"/>
    <cellStyle name="2.Жирный" xfId="171" xr:uid="{00000000-0005-0000-0000-0000A5000000}"/>
    <cellStyle name="20% - Accent1" xfId="172" xr:uid="{00000000-0005-0000-0000-0000A6000000}"/>
    <cellStyle name="20% - Accent1 2" xfId="173" xr:uid="{00000000-0005-0000-0000-0000A7000000}"/>
    <cellStyle name="20% - Accent2" xfId="174" xr:uid="{00000000-0005-0000-0000-0000A8000000}"/>
    <cellStyle name="20% - Accent2 2" xfId="175" xr:uid="{00000000-0005-0000-0000-0000A9000000}"/>
    <cellStyle name="20% - Accent3" xfId="176" xr:uid="{00000000-0005-0000-0000-0000AA000000}"/>
    <cellStyle name="20% - Accent3 2" xfId="177" xr:uid="{00000000-0005-0000-0000-0000AB000000}"/>
    <cellStyle name="20% - Accent4" xfId="178" xr:uid="{00000000-0005-0000-0000-0000AC000000}"/>
    <cellStyle name="20% - Accent4 2" xfId="179" xr:uid="{00000000-0005-0000-0000-0000AD000000}"/>
    <cellStyle name="20% - Accent5" xfId="180" xr:uid="{00000000-0005-0000-0000-0000AE000000}"/>
    <cellStyle name="20% - Accent5 2" xfId="181" xr:uid="{00000000-0005-0000-0000-0000AF000000}"/>
    <cellStyle name="20% - Accent6" xfId="182" xr:uid="{00000000-0005-0000-0000-0000B0000000}"/>
    <cellStyle name="20% - Accent6 2" xfId="183" xr:uid="{00000000-0005-0000-0000-0000B1000000}"/>
    <cellStyle name="20% - Акцент1 2" xfId="184" xr:uid="{00000000-0005-0000-0000-0000B2000000}"/>
    <cellStyle name="20% - Акцент1 3" xfId="185" xr:uid="{00000000-0005-0000-0000-0000B3000000}"/>
    <cellStyle name="20% - Акцент1 4" xfId="186" xr:uid="{00000000-0005-0000-0000-0000B4000000}"/>
    <cellStyle name="20% - Акцент2 2" xfId="187" xr:uid="{00000000-0005-0000-0000-0000B5000000}"/>
    <cellStyle name="20% - Акцент2 3" xfId="188" xr:uid="{00000000-0005-0000-0000-0000B6000000}"/>
    <cellStyle name="20% - Акцент2 4" xfId="189" xr:uid="{00000000-0005-0000-0000-0000B7000000}"/>
    <cellStyle name="20% - Акцент3 2" xfId="190" xr:uid="{00000000-0005-0000-0000-0000B8000000}"/>
    <cellStyle name="20% - Акцент3 3" xfId="191" xr:uid="{00000000-0005-0000-0000-0000B9000000}"/>
    <cellStyle name="20% - Акцент3 4" xfId="192" xr:uid="{00000000-0005-0000-0000-0000BA000000}"/>
    <cellStyle name="20% - Акцент4 2" xfId="193" xr:uid="{00000000-0005-0000-0000-0000BB000000}"/>
    <cellStyle name="20% - Акцент4 3" xfId="194" xr:uid="{00000000-0005-0000-0000-0000BC000000}"/>
    <cellStyle name="20% - Акцент4 4" xfId="195" xr:uid="{00000000-0005-0000-0000-0000BD000000}"/>
    <cellStyle name="20% - Акцент5 2" xfId="196" xr:uid="{00000000-0005-0000-0000-0000BE000000}"/>
    <cellStyle name="20% - Акцент5 3" xfId="197" xr:uid="{00000000-0005-0000-0000-0000BF000000}"/>
    <cellStyle name="20% - Акцент5 4" xfId="198" xr:uid="{00000000-0005-0000-0000-0000C0000000}"/>
    <cellStyle name="20% - Акцент6 2" xfId="199" xr:uid="{00000000-0005-0000-0000-0000C1000000}"/>
    <cellStyle name="20% - Акцент6 3" xfId="200" xr:uid="{00000000-0005-0000-0000-0000C2000000}"/>
    <cellStyle name="20% - Акцент6 4" xfId="201" xr:uid="{00000000-0005-0000-0000-0000C3000000}"/>
    <cellStyle name="2decimal" xfId="202" xr:uid="{00000000-0005-0000-0000-0000C4000000}"/>
    <cellStyle name="40% - Accent1" xfId="203" xr:uid="{00000000-0005-0000-0000-0000C5000000}"/>
    <cellStyle name="40% - Accent1 2" xfId="204" xr:uid="{00000000-0005-0000-0000-0000C6000000}"/>
    <cellStyle name="40% - Accent2" xfId="205" xr:uid="{00000000-0005-0000-0000-0000C7000000}"/>
    <cellStyle name="40% - Accent2 2" xfId="206" xr:uid="{00000000-0005-0000-0000-0000C8000000}"/>
    <cellStyle name="40% - Accent3" xfId="207" xr:uid="{00000000-0005-0000-0000-0000C9000000}"/>
    <cellStyle name="40% - Accent3 2" xfId="208" xr:uid="{00000000-0005-0000-0000-0000CA000000}"/>
    <cellStyle name="40% - Accent4" xfId="209" xr:uid="{00000000-0005-0000-0000-0000CB000000}"/>
    <cellStyle name="40% - Accent4 2" xfId="210" xr:uid="{00000000-0005-0000-0000-0000CC000000}"/>
    <cellStyle name="40% - Accent5" xfId="211" xr:uid="{00000000-0005-0000-0000-0000CD000000}"/>
    <cellStyle name="40% - Accent5 2" xfId="212" xr:uid="{00000000-0005-0000-0000-0000CE000000}"/>
    <cellStyle name="40% - Accent6" xfId="213" xr:uid="{00000000-0005-0000-0000-0000CF000000}"/>
    <cellStyle name="40% - Accent6 2" xfId="214" xr:uid="{00000000-0005-0000-0000-0000D0000000}"/>
    <cellStyle name="40% - Акцент1 2" xfId="215" xr:uid="{00000000-0005-0000-0000-0000D1000000}"/>
    <cellStyle name="40% - Акцент1 3" xfId="216" xr:uid="{00000000-0005-0000-0000-0000D2000000}"/>
    <cellStyle name="40% - Акцент1 4" xfId="217" xr:uid="{00000000-0005-0000-0000-0000D3000000}"/>
    <cellStyle name="40% - Акцент2 2" xfId="218" xr:uid="{00000000-0005-0000-0000-0000D4000000}"/>
    <cellStyle name="40% - Акцент2 3" xfId="219" xr:uid="{00000000-0005-0000-0000-0000D5000000}"/>
    <cellStyle name="40% - Акцент2 4" xfId="220" xr:uid="{00000000-0005-0000-0000-0000D6000000}"/>
    <cellStyle name="40% - Акцент3 2" xfId="221" xr:uid="{00000000-0005-0000-0000-0000D7000000}"/>
    <cellStyle name="40% - Акцент3 3" xfId="222" xr:uid="{00000000-0005-0000-0000-0000D8000000}"/>
    <cellStyle name="40% - Акцент3 4" xfId="223" xr:uid="{00000000-0005-0000-0000-0000D9000000}"/>
    <cellStyle name="40% - Акцент4 2" xfId="224" xr:uid="{00000000-0005-0000-0000-0000DA000000}"/>
    <cellStyle name="40% - Акцент4 3" xfId="225" xr:uid="{00000000-0005-0000-0000-0000DB000000}"/>
    <cellStyle name="40% - Акцент4 4" xfId="226" xr:uid="{00000000-0005-0000-0000-0000DC000000}"/>
    <cellStyle name="40% - Акцент5 2" xfId="227" xr:uid="{00000000-0005-0000-0000-0000DD000000}"/>
    <cellStyle name="40% - Акцент5 3" xfId="228" xr:uid="{00000000-0005-0000-0000-0000DE000000}"/>
    <cellStyle name="40% - Акцент5 4" xfId="229" xr:uid="{00000000-0005-0000-0000-0000DF000000}"/>
    <cellStyle name="40% - Акцент6 2" xfId="230" xr:uid="{00000000-0005-0000-0000-0000E0000000}"/>
    <cellStyle name="40% - Акцент6 3" xfId="231" xr:uid="{00000000-0005-0000-0000-0000E1000000}"/>
    <cellStyle name="40% - Акцент6 4" xfId="232" xr:uid="{00000000-0005-0000-0000-0000E2000000}"/>
    <cellStyle name="4КД" xfId="4" xr:uid="{00000000-0005-0000-0000-0000E3000000}"/>
    <cellStyle name="60% - Accent1" xfId="233" xr:uid="{00000000-0005-0000-0000-0000E4000000}"/>
    <cellStyle name="60% - Accent1 2" xfId="234" xr:uid="{00000000-0005-0000-0000-0000E5000000}"/>
    <cellStyle name="60% - Accent2" xfId="235" xr:uid="{00000000-0005-0000-0000-0000E6000000}"/>
    <cellStyle name="60% - Accent2 2" xfId="236" xr:uid="{00000000-0005-0000-0000-0000E7000000}"/>
    <cellStyle name="60% - Accent3" xfId="237" xr:uid="{00000000-0005-0000-0000-0000E8000000}"/>
    <cellStyle name="60% - Accent3 2" xfId="238" xr:uid="{00000000-0005-0000-0000-0000E9000000}"/>
    <cellStyle name="60% - Accent4" xfId="239" xr:uid="{00000000-0005-0000-0000-0000EA000000}"/>
    <cellStyle name="60% - Accent4 2" xfId="240" xr:uid="{00000000-0005-0000-0000-0000EB000000}"/>
    <cellStyle name="60% - Accent5" xfId="241" xr:uid="{00000000-0005-0000-0000-0000EC000000}"/>
    <cellStyle name="60% - Accent5 2" xfId="242" xr:uid="{00000000-0005-0000-0000-0000ED000000}"/>
    <cellStyle name="60% - Accent6" xfId="243" xr:uid="{00000000-0005-0000-0000-0000EE000000}"/>
    <cellStyle name="60% - Accent6 2" xfId="244" xr:uid="{00000000-0005-0000-0000-0000EF000000}"/>
    <cellStyle name="60% - Акцент1 2" xfId="245" xr:uid="{00000000-0005-0000-0000-0000F0000000}"/>
    <cellStyle name="60% - Акцент1 3" xfId="246" xr:uid="{00000000-0005-0000-0000-0000F1000000}"/>
    <cellStyle name="60% - Акцент1 4" xfId="247" xr:uid="{00000000-0005-0000-0000-0000F2000000}"/>
    <cellStyle name="60% - Акцент2 2" xfId="248" xr:uid="{00000000-0005-0000-0000-0000F3000000}"/>
    <cellStyle name="60% - Акцент2 3" xfId="249" xr:uid="{00000000-0005-0000-0000-0000F4000000}"/>
    <cellStyle name="60% - Акцент2 4" xfId="250" xr:uid="{00000000-0005-0000-0000-0000F5000000}"/>
    <cellStyle name="60% - Акцент3 2" xfId="251" xr:uid="{00000000-0005-0000-0000-0000F6000000}"/>
    <cellStyle name="60% - Акцент3 3" xfId="252" xr:uid="{00000000-0005-0000-0000-0000F7000000}"/>
    <cellStyle name="60% - Акцент3 4" xfId="253" xr:uid="{00000000-0005-0000-0000-0000F8000000}"/>
    <cellStyle name="60% - Акцент4 2" xfId="254" xr:uid="{00000000-0005-0000-0000-0000F9000000}"/>
    <cellStyle name="60% - Акцент4 3" xfId="255" xr:uid="{00000000-0005-0000-0000-0000FA000000}"/>
    <cellStyle name="60% - Акцент4 4" xfId="256" xr:uid="{00000000-0005-0000-0000-0000FB000000}"/>
    <cellStyle name="60% - Акцент5 2" xfId="257" xr:uid="{00000000-0005-0000-0000-0000FC000000}"/>
    <cellStyle name="60% - Акцент5 3" xfId="258" xr:uid="{00000000-0005-0000-0000-0000FD000000}"/>
    <cellStyle name="60% - Акцент5 4" xfId="259" xr:uid="{00000000-0005-0000-0000-0000FE000000}"/>
    <cellStyle name="60% - Акцент6 2" xfId="260" xr:uid="{00000000-0005-0000-0000-0000FF000000}"/>
    <cellStyle name="60% - Акцент6 3" xfId="261" xr:uid="{00000000-0005-0000-0000-000000010000}"/>
    <cellStyle name="60% - Акцент6 4" xfId="262" xr:uid="{00000000-0005-0000-0000-000001010000}"/>
    <cellStyle name="Accent1" xfId="263" xr:uid="{00000000-0005-0000-0000-000002010000}"/>
    <cellStyle name="Accent1 - 20%" xfId="264" xr:uid="{00000000-0005-0000-0000-000003010000}"/>
    <cellStyle name="Accent1 - 40%" xfId="265" xr:uid="{00000000-0005-0000-0000-000004010000}"/>
    <cellStyle name="Accent1 - 60%" xfId="266" xr:uid="{00000000-0005-0000-0000-000005010000}"/>
    <cellStyle name="Accent1 2" xfId="267" xr:uid="{00000000-0005-0000-0000-000006010000}"/>
    <cellStyle name="Accent1 3" xfId="268" xr:uid="{00000000-0005-0000-0000-000007010000}"/>
    <cellStyle name="Accent1 4" xfId="269" xr:uid="{00000000-0005-0000-0000-000008010000}"/>
    <cellStyle name="Accent1 5" xfId="270" xr:uid="{00000000-0005-0000-0000-000009010000}"/>
    <cellStyle name="Accent1 6" xfId="271" xr:uid="{00000000-0005-0000-0000-00000A010000}"/>
    <cellStyle name="Accent1 7" xfId="272" xr:uid="{00000000-0005-0000-0000-00000B010000}"/>
    <cellStyle name="Accent2" xfId="273" xr:uid="{00000000-0005-0000-0000-00000C010000}"/>
    <cellStyle name="Accent2 - 20%" xfId="274" xr:uid="{00000000-0005-0000-0000-00000D010000}"/>
    <cellStyle name="Accent2 - 40%" xfId="275" xr:uid="{00000000-0005-0000-0000-00000E010000}"/>
    <cellStyle name="Accent2 - 60%" xfId="276" xr:uid="{00000000-0005-0000-0000-00000F010000}"/>
    <cellStyle name="Accent2 2" xfId="277" xr:uid="{00000000-0005-0000-0000-000010010000}"/>
    <cellStyle name="Accent2 3" xfId="278" xr:uid="{00000000-0005-0000-0000-000011010000}"/>
    <cellStyle name="Accent2 4" xfId="279" xr:uid="{00000000-0005-0000-0000-000012010000}"/>
    <cellStyle name="Accent2 5" xfId="280" xr:uid="{00000000-0005-0000-0000-000013010000}"/>
    <cellStyle name="Accent2 6" xfId="281" xr:uid="{00000000-0005-0000-0000-000014010000}"/>
    <cellStyle name="Accent2 7" xfId="282" xr:uid="{00000000-0005-0000-0000-000015010000}"/>
    <cellStyle name="Accent3" xfId="283" xr:uid="{00000000-0005-0000-0000-000016010000}"/>
    <cellStyle name="Accent3 - 20%" xfId="284" xr:uid="{00000000-0005-0000-0000-000017010000}"/>
    <cellStyle name="Accent3 - 40%" xfId="285" xr:uid="{00000000-0005-0000-0000-000018010000}"/>
    <cellStyle name="Accent3 - 60%" xfId="286" xr:uid="{00000000-0005-0000-0000-000019010000}"/>
    <cellStyle name="Accent3 2" xfId="287" xr:uid="{00000000-0005-0000-0000-00001A010000}"/>
    <cellStyle name="Accent3 3" xfId="288" xr:uid="{00000000-0005-0000-0000-00001B010000}"/>
    <cellStyle name="Accent3 4" xfId="289" xr:uid="{00000000-0005-0000-0000-00001C010000}"/>
    <cellStyle name="Accent3 5" xfId="290" xr:uid="{00000000-0005-0000-0000-00001D010000}"/>
    <cellStyle name="Accent3 6" xfId="291" xr:uid="{00000000-0005-0000-0000-00001E010000}"/>
    <cellStyle name="Accent3 7" xfId="292" xr:uid="{00000000-0005-0000-0000-00001F010000}"/>
    <cellStyle name="Accent4" xfId="293" xr:uid="{00000000-0005-0000-0000-000020010000}"/>
    <cellStyle name="Accent4 - 20%" xfId="294" xr:uid="{00000000-0005-0000-0000-000021010000}"/>
    <cellStyle name="Accent4 - 40%" xfId="295" xr:uid="{00000000-0005-0000-0000-000022010000}"/>
    <cellStyle name="Accent4 - 60%" xfId="296" xr:uid="{00000000-0005-0000-0000-000023010000}"/>
    <cellStyle name="Accent4 2" xfId="297" xr:uid="{00000000-0005-0000-0000-000024010000}"/>
    <cellStyle name="Accent4 3" xfId="298" xr:uid="{00000000-0005-0000-0000-000025010000}"/>
    <cellStyle name="Accent4 4" xfId="299" xr:uid="{00000000-0005-0000-0000-000026010000}"/>
    <cellStyle name="Accent4 5" xfId="300" xr:uid="{00000000-0005-0000-0000-000027010000}"/>
    <cellStyle name="Accent4 6" xfId="301" xr:uid="{00000000-0005-0000-0000-000028010000}"/>
    <cellStyle name="Accent4 7" xfId="302" xr:uid="{00000000-0005-0000-0000-000029010000}"/>
    <cellStyle name="Accent5" xfId="303" xr:uid="{00000000-0005-0000-0000-00002A010000}"/>
    <cellStyle name="Accent5 - 20%" xfId="304" xr:uid="{00000000-0005-0000-0000-00002B010000}"/>
    <cellStyle name="Accent5 - 40%" xfId="305" xr:uid="{00000000-0005-0000-0000-00002C010000}"/>
    <cellStyle name="Accent5 - 60%" xfId="306" xr:uid="{00000000-0005-0000-0000-00002D010000}"/>
    <cellStyle name="Accent5 2" xfId="307" xr:uid="{00000000-0005-0000-0000-00002E010000}"/>
    <cellStyle name="Accent5 3" xfId="308" xr:uid="{00000000-0005-0000-0000-00002F010000}"/>
    <cellStyle name="Accent5 4" xfId="309" xr:uid="{00000000-0005-0000-0000-000030010000}"/>
    <cellStyle name="Accent5 5" xfId="310" xr:uid="{00000000-0005-0000-0000-000031010000}"/>
    <cellStyle name="Accent5 6" xfId="311" xr:uid="{00000000-0005-0000-0000-000032010000}"/>
    <cellStyle name="Accent5 7" xfId="312" xr:uid="{00000000-0005-0000-0000-000033010000}"/>
    <cellStyle name="Accent6" xfId="313" xr:uid="{00000000-0005-0000-0000-000034010000}"/>
    <cellStyle name="Accent6 - 20%" xfId="314" xr:uid="{00000000-0005-0000-0000-000035010000}"/>
    <cellStyle name="Accent6 - 40%" xfId="315" xr:uid="{00000000-0005-0000-0000-000036010000}"/>
    <cellStyle name="Accent6 - 60%" xfId="316" xr:uid="{00000000-0005-0000-0000-000037010000}"/>
    <cellStyle name="Accent6 2" xfId="317" xr:uid="{00000000-0005-0000-0000-000038010000}"/>
    <cellStyle name="Accent6 3" xfId="318" xr:uid="{00000000-0005-0000-0000-000039010000}"/>
    <cellStyle name="Accent6 4" xfId="319" xr:uid="{00000000-0005-0000-0000-00003A010000}"/>
    <cellStyle name="Accent6 5" xfId="320" xr:uid="{00000000-0005-0000-0000-00003B010000}"/>
    <cellStyle name="Accent6 6" xfId="321" xr:uid="{00000000-0005-0000-0000-00003C010000}"/>
    <cellStyle name="Accent6 7" xfId="322" xr:uid="{00000000-0005-0000-0000-00003D010000}"/>
    <cellStyle name="Availability" xfId="323" xr:uid="{00000000-0005-0000-0000-00003E010000}"/>
    <cellStyle name="Bad" xfId="324" xr:uid="{00000000-0005-0000-0000-00003F010000}"/>
    <cellStyle name="Bad 2" xfId="325" xr:uid="{00000000-0005-0000-0000-000040010000}"/>
    <cellStyle name="Black Text" xfId="326" xr:uid="{00000000-0005-0000-0000-000041010000}"/>
    <cellStyle name="Black Text (No Wrap)" xfId="327" xr:uid="{00000000-0005-0000-0000-000042010000}"/>
    <cellStyle name="Blue Text" xfId="328" xr:uid="{00000000-0005-0000-0000-000043010000}"/>
    <cellStyle name="Blue Text - Ariel 10" xfId="329" xr:uid="{00000000-0005-0000-0000-000044010000}"/>
    <cellStyle name="bolet" xfId="330" xr:uid="{00000000-0005-0000-0000-000045010000}"/>
    <cellStyle name="Calc Currency (0)" xfId="331" xr:uid="{00000000-0005-0000-0000-000046010000}"/>
    <cellStyle name="Calc Currency (2)" xfId="332" xr:uid="{00000000-0005-0000-0000-000047010000}"/>
    <cellStyle name="Calc Percent (0)" xfId="333" xr:uid="{00000000-0005-0000-0000-000048010000}"/>
    <cellStyle name="Calc Percent (1)" xfId="334" xr:uid="{00000000-0005-0000-0000-000049010000}"/>
    <cellStyle name="Calc Percent (2)" xfId="335" xr:uid="{00000000-0005-0000-0000-00004A010000}"/>
    <cellStyle name="Calc Units (0)" xfId="336" xr:uid="{00000000-0005-0000-0000-00004B010000}"/>
    <cellStyle name="Calc Units (1)" xfId="337" xr:uid="{00000000-0005-0000-0000-00004C010000}"/>
    <cellStyle name="Calc Units (2)" xfId="338" xr:uid="{00000000-0005-0000-0000-00004D010000}"/>
    <cellStyle name="Calculation" xfId="339" xr:uid="{00000000-0005-0000-0000-00004E010000}"/>
    <cellStyle name="Calculation 2" xfId="340" xr:uid="{00000000-0005-0000-0000-00004F010000}"/>
    <cellStyle name="cfheader" xfId="341" xr:uid="{00000000-0005-0000-0000-000050010000}"/>
    <cellStyle name="Check Cell" xfId="342" xr:uid="{00000000-0005-0000-0000-000051010000}"/>
    <cellStyle name="Check Cell 2" xfId="343" xr:uid="{00000000-0005-0000-0000-000052010000}"/>
    <cellStyle name="CLEAR" xfId="344" xr:uid="{00000000-0005-0000-0000-000053010000}"/>
    <cellStyle name="Column Heading 1" xfId="345" xr:uid="{00000000-0005-0000-0000-000054010000}"/>
    <cellStyle name="Comma  - Style1" xfId="346" xr:uid="{00000000-0005-0000-0000-000055010000}"/>
    <cellStyle name="Comma  - Style2" xfId="347" xr:uid="{00000000-0005-0000-0000-000056010000}"/>
    <cellStyle name="Comma  - Style3" xfId="348" xr:uid="{00000000-0005-0000-0000-000057010000}"/>
    <cellStyle name="Comma  - Style4" xfId="349" xr:uid="{00000000-0005-0000-0000-000058010000}"/>
    <cellStyle name="Comma  - Style5" xfId="350" xr:uid="{00000000-0005-0000-0000-000059010000}"/>
    <cellStyle name="Comma  - Style6" xfId="351" xr:uid="{00000000-0005-0000-0000-00005A010000}"/>
    <cellStyle name="Comma  - Style7" xfId="352" xr:uid="{00000000-0005-0000-0000-00005B010000}"/>
    <cellStyle name="Comma  - Style8" xfId="353" xr:uid="{00000000-0005-0000-0000-00005C010000}"/>
    <cellStyle name="Comma [00]" xfId="354" xr:uid="{00000000-0005-0000-0000-00005D010000}"/>
    <cellStyle name="Comma 10" xfId="355" xr:uid="{00000000-0005-0000-0000-00005E010000}"/>
    <cellStyle name="Comma 11" xfId="356" xr:uid="{00000000-0005-0000-0000-00005F010000}"/>
    <cellStyle name="Comma 12" xfId="357" xr:uid="{00000000-0005-0000-0000-000060010000}"/>
    <cellStyle name="Comma 13" xfId="358" xr:uid="{00000000-0005-0000-0000-000061010000}"/>
    <cellStyle name="Comma 14" xfId="359" xr:uid="{00000000-0005-0000-0000-000062010000}"/>
    <cellStyle name="Comma 2" xfId="360" xr:uid="{00000000-0005-0000-0000-000063010000}"/>
    <cellStyle name="Comma 3" xfId="361" xr:uid="{00000000-0005-0000-0000-000064010000}"/>
    <cellStyle name="Comma 3 2" xfId="362" xr:uid="{00000000-0005-0000-0000-000065010000}"/>
    <cellStyle name="Comma 3_Расчёты Цветной_на обороте-2" xfId="363" xr:uid="{00000000-0005-0000-0000-000066010000}"/>
    <cellStyle name="Comma 4" xfId="364" xr:uid="{00000000-0005-0000-0000-000067010000}"/>
    <cellStyle name="Comma 5" xfId="365" xr:uid="{00000000-0005-0000-0000-000068010000}"/>
    <cellStyle name="Comma 6" xfId="366" xr:uid="{00000000-0005-0000-0000-000069010000}"/>
    <cellStyle name="Comma 7" xfId="367" xr:uid="{00000000-0005-0000-0000-00006A010000}"/>
    <cellStyle name="Comma 8" xfId="368" xr:uid="{00000000-0005-0000-0000-00006B010000}"/>
    <cellStyle name="Comma 9" xfId="369" xr:uid="{00000000-0005-0000-0000-00006C010000}"/>
    <cellStyle name="Comma0" xfId="370" xr:uid="{00000000-0005-0000-0000-00006D010000}"/>
    <cellStyle name="Copied" xfId="371" xr:uid="{00000000-0005-0000-0000-00006E010000}"/>
    <cellStyle name="Currency ($)" xfId="372" xr:uid="{00000000-0005-0000-0000-00006F010000}"/>
    <cellStyle name="Currency (£)" xfId="373" xr:uid="{00000000-0005-0000-0000-000070010000}"/>
    <cellStyle name="Currency [00]" xfId="374" xr:uid="{00000000-0005-0000-0000-000071010000}"/>
    <cellStyle name="Currency 2" xfId="375" xr:uid="{00000000-0005-0000-0000-000072010000}"/>
    <cellStyle name="Currency 3" xfId="376" xr:uid="{00000000-0005-0000-0000-000073010000}"/>
    <cellStyle name="Currency 4" xfId="377" xr:uid="{00000000-0005-0000-0000-000074010000}"/>
    <cellStyle name="Currency 5" xfId="378" xr:uid="{00000000-0005-0000-0000-000075010000}"/>
    <cellStyle name="Currency0" xfId="379" xr:uid="{00000000-0005-0000-0000-000076010000}"/>
    <cellStyle name="Date" xfId="380" xr:uid="{00000000-0005-0000-0000-000077010000}"/>
    <cellStyle name="Date Short" xfId="381" xr:uid="{00000000-0005-0000-0000-000078010000}"/>
    <cellStyle name="Date, mmm-yy" xfId="382" xr:uid="{00000000-0005-0000-0000-000079010000}"/>
    <cellStyle name="Dezimal [0]_Tabelle4" xfId="383" xr:uid="{00000000-0005-0000-0000-00007A010000}"/>
    <cellStyle name="Dezimal_Tabelle4" xfId="384" xr:uid="{00000000-0005-0000-0000-00007B010000}"/>
    <cellStyle name="Dziesiętny_Investor Cashflows for Year Ended 31-12-05 (2)" xfId="385" xr:uid="{00000000-0005-0000-0000-00007C010000}"/>
    <cellStyle name="E&amp;Y House" xfId="386" xr:uid="{00000000-0005-0000-0000-00007D010000}"/>
    <cellStyle name="E&amp;Y House 2" xfId="387" xr:uid="{00000000-0005-0000-0000-00007E010000}"/>
    <cellStyle name="Emphasis 1" xfId="388" xr:uid="{00000000-0005-0000-0000-00007F010000}"/>
    <cellStyle name="Emphasis 2" xfId="389" xr:uid="{00000000-0005-0000-0000-000080010000}"/>
    <cellStyle name="Emphasis 3" xfId="390" xr:uid="{00000000-0005-0000-0000-000081010000}"/>
    <cellStyle name="En miles" xfId="391" xr:uid="{00000000-0005-0000-0000-000082010000}"/>
    <cellStyle name="En millones" xfId="392" xr:uid="{00000000-0005-0000-0000-000083010000}"/>
    <cellStyle name="Enter Currency (0)" xfId="393" xr:uid="{00000000-0005-0000-0000-000084010000}"/>
    <cellStyle name="Enter Currency (2)" xfId="394" xr:uid="{00000000-0005-0000-0000-000085010000}"/>
    <cellStyle name="Enter Units (0)" xfId="395" xr:uid="{00000000-0005-0000-0000-000086010000}"/>
    <cellStyle name="Enter Units (1)" xfId="396" xr:uid="{00000000-0005-0000-0000-000087010000}"/>
    <cellStyle name="Enter Units (2)" xfId="397" xr:uid="{00000000-0005-0000-0000-000088010000}"/>
    <cellStyle name="Entered" xfId="398" xr:uid="{00000000-0005-0000-0000-000089010000}"/>
    <cellStyle name="Euro" xfId="399" xr:uid="{00000000-0005-0000-0000-00008A010000}"/>
    <cellStyle name="Euro 10" xfId="400" xr:uid="{00000000-0005-0000-0000-00008B010000}"/>
    <cellStyle name="Euro 11" xfId="401" xr:uid="{00000000-0005-0000-0000-00008C010000}"/>
    <cellStyle name="Euro 12" xfId="402" xr:uid="{00000000-0005-0000-0000-00008D010000}"/>
    <cellStyle name="Euro 13" xfId="403" xr:uid="{00000000-0005-0000-0000-00008E010000}"/>
    <cellStyle name="Euro 14" xfId="404" xr:uid="{00000000-0005-0000-0000-00008F010000}"/>
    <cellStyle name="Euro 15" xfId="405" xr:uid="{00000000-0005-0000-0000-000090010000}"/>
    <cellStyle name="Euro 16" xfId="406" xr:uid="{00000000-0005-0000-0000-000091010000}"/>
    <cellStyle name="Euro 17" xfId="407" xr:uid="{00000000-0005-0000-0000-000092010000}"/>
    <cellStyle name="Euro 18" xfId="408" xr:uid="{00000000-0005-0000-0000-000093010000}"/>
    <cellStyle name="Euro 19" xfId="409" xr:uid="{00000000-0005-0000-0000-000094010000}"/>
    <cellStyle name="Euro 2" xfId="410" xr:uid="{00000000-0005-0000-0000-000095010000}"/>
    <cellStyle name="Euro 3" xfId="411" xr:uid="{00000000-0005-0000-0000-000096010000}"/>
    <cellStyle name="Euro 4" xfId="412" xr:uid="{00000000-0005-0000-0000-000097010000}"/>
    <cellStyle name="Euro 5" xfId="413" xr:uid="{00000000-0005-0000-0000-000098010000}"/>
    <cellStyle name="Euro 6" xfId="414" xr:uid="{00000000-0005-0000-0000-000099010000}"/>
    <cellStyle name="Euro 7" xfId="415" xr:uid="{00000000-0005-0000-0000-00009A010000}"/>
    <cellStyle name="Euro 8" xfId="416" xr:uid="{00000000-0005-0000-0000-00009B010000}"/>
    <cellStyle name="Euro 9" xfId="417" xr:uid="{00000000-0005-0000-0000-00009C010000}"/>
    <cellStyle name="Euro_081028 STANISLAVSKIY BUDGET 2009" xfId="418" xr:uid="{00000000-0005-0000-0000-00009D010000}"/>
    <cellStyle name="Explanatory Text" xfId="419" xr:uid="{00000000-0005-0000-0000-00009E010000}"/>
    <cellStyle name="Explanatory Text 2" xfId="420" xr:uid="{00000000-0005-0000-0000-00009F010000}"/>
    <cellStyle name="Ezres_Obudai Loan Amortization Schedules" xfId="421" xr:uid="{00000000-0005-0000-0000-0000A0010000}"/>
    <cellStyle name="F2" xfId="422" xr:uid="{00000000-0005-0000-0000-0000A1010000}"/>
    <cellStyle name="F3" xfId="423" xr:uid="{00000000-0005-0000-0000-0000A2010000}"/>
    <cellStyle name="F4" xfId="424" xr:uid="{00000000-0005-0000-0000-0000A3010000}"/>
    <cellStyle name="F5" xfId="425" xr:uid="{00000000-0005-0000-0000-0000A4010000}"/>
    <cellStyle name="F6" xfId="426" xr:uid="{00000000-0005-0000-0000-0000A5010000}"/>
    <cellStyle name="F7" xfId="427" xr:uid="{00000000-0005-0000-0000-0000A6010000}"/>
    <cellStyle name="F8" xfId="428" xr:uid="{00000000-0005-0000-0000-0000A7010000}"/>
    <cellStyle name="facha" xfId="429" xr:uid="{00000000-0005-0000-0000-0000A8010000}"/>
    <cellStyle name="Fraction Change" xfId="430" xr:uid="{00000000-0005-0000-0000-0000A9010000}"/>
    <cellStyle name="Fractions" xfId="431" xr:uid="{00000000-0005-0000-0000-0000AA010000}"/>
    <cellStyle name="Good" xfId="432" xr:uid="{00000000-0005-0000-0000-0000AB010000}"/>
    <cellStyle name="Good 2" xfId="433" xr:uid="{00000000-0005-0000-0000-0000AC010000}"/>
    <cellStyle name="Grey" xfId="434" xr:uid="{00000000-0005-0000-0000-0000AD010000}"/>
    <cellStyle name="Growth Rates/Margins" xfId="435" xr:uid="{00000000-0005-0000-0000-0000AE010000}"/>
    <cellStyle name="Head1" xfId="436" xr:uid="{00000000-0005-0000-0000-0000AF010000}"/>
    <cellStyle name="Header" xfId="437" xr:uid="{00000000-0005-0000-0000-0000B0010000}"/>
    <cellStyle name="Header1" xfId="438" xr:uid="{00000000-0005-0000-0000-0000B1010000}"/>
    <cellStyle name="Header2" xfId="439" xr:uid="{00000000-0005-0000-0000-0000B2010000}"/>
    <cellStyle name="Heading" xfId="440" xr:uid="{00000000-0005-0000-0000-0000B3010000}"/>
    <cellStyle name="Heading 1" xfId="441" xr:uid="{00000000-0005-0000-0000-0000B4010000}"/>
    <cellStyle name="Heading 1 2" xfId="442" xr:uid="{00000000-0005-0000-0000-0000B5010000}"/>
    <cellStyle name="Heading 2" xfId="443" xr:uid="{00000000-0005-0000-0000-0000B6010000}"/>
    <cellStyle name="Heading 2 2" xfId="444" xr:uid="{00000000-0005-0000-0000-0000B7010000}"/>
    <cellStyle name="Heading 3" xfId="445" xr:uid="{00000000-0005-0000-0000-0000B8010000}"/>
    <cellStyle name="Heading 3 2" xfId="446" xr:uid="{00000000-0005-0000-0000-0000B9010000}"/>
    <cellStyle name="Heading 4" xfId="447" xr:uid="{00000000-0005-0000-0000-0000BA010000}"/>
    <cellStyle name="Heading 4 2" xfId="448" xr:uid="{00000000-0005-0000-0000-0000BB010000}"/>
    <cellStyle name="Heltal" xfId="449" xr:uid="{00000000-0005-0000-0000-0000BC010000}"/>
    <cellStyle name="Hiperhivatkozás_Monthly Reporting Package_2003_09" xfId="450" xr:uid="{00000000-0005-0000-0000-0000BD010000}"/>
    <cellStyle name="Hipervínculo" xfId="451" xr:uid="{00000000-0005-0000-0000-0000BE010000}"/>
    <cellStyle name="History" xfId="452" xr:uid="{00000000-0005-0000-0000-0000BF010000}"/>
    <cellStyle name="Hyperlink seguido_NFGC_SPE_1995_2003" xfId="453" xr:uid="{00000000-0005-0000-0000-0000C0010000}"/>
    <cellStyle name="Hyperlink_DEVELOPMENT BUDGET PROFORMA" xfId="454" xr:uid="{00000000-0005-0000-0000-0000C1010000}"/>
    <cellStyle name="Iau?iue_130 nnd. are." xfId="455" xr:uid="{00000000-0005-0000-0000-0000C2010000}"/>
    <cellStyle name="Input" xfId="456" xr:uid="{00000000-0005-0000-0000-0000C3010000}"/>
    <cellStyle name="Input [yellow]" xfId="457" xr:uid="{00000000-0005-0000-0000-0000C4010000}"/>
    <cellStyle name="Input 2" xfId="458" xr:uid="{00000000-0005-0000-0000-0000C5010000}"/>
    <cellStyle name="Input 3" xfId="459" xr:uid="{00000000-0005-0000-0000-0000C6010000}"/>
    <cellStyle name="Input 4" xfId="460" xr:uid="{00000000-0005-0000-0000-0000C7010000}"/>
    <cellStyle name="INPUT 5" xfId="461" xr:uid="{00000000-0005-0000-0000-0000C8010000}"/>
    <cellStyle name="Input 6" xfId="462" xr:uid="{00000000-0005-0000-0000-0000C9010000}"/>
    <cellStyle name="Input 7" xfId="463" xr:uid="{00000000-0005-0000-0000-0000CA010000}"/>
    <cellStyle name="Input Box" xfId="464" xr:uid="{00000000-0005-0000-0000-0000CB010000}"/>
    <cellStyle name="Integer" xfId="465" xr:uid="{00000000-0005-0000-0000-0000CC010000}"/>
    <cellStyle name="jo[" xfId="466" xr:uid="{00000000-0005-0000-0000-0000CD010000}"/>
    <cellStyle name="Komma (0)" xfId="467" xr:uid="{00000000-0005-0000-0000-0000CE010000}"/>
    <cellStyle name="left" xfId="468" xr:uid="{00000000-0005-0000-0000-0000CF010000}"/>
    <cellStyle name="Link Currency (0)" xfId="469" xr:uid="{00000000-0005-0000-0000-0000D0010000}"/>
    <cellStyle name="Link Currency (2)" xfId="470" xr:uid="{00000000-0005-0000-0000-0000D1010000}"/>
    <cellStyle name="Link Units (0)" xfId="471" xr:uid="{00000000-0005-0000-0000-0000D2010000}"/>
    <cellStyle name="Link Units (1)" xfId="472" xr:uid="{00000000-0005-0000-0000-0000D3010000}"/>
    <cellStyle name="Link Units (2)" xfId="473" xr:uid="{00000000-0005-0000-0000-0000D4010000}"/>
    <cellStyle name="Linked Cell" xfId="474" xr:uid="{00000000-0005-0000-0000-0000D5010000}"/>
    <cellStyle name="Linked Cell 2" xfId="475" xr:uid="{00000000-0005-0000-0000-0000D6010000}"/>
    <cellStyle name="Main text" xfId="476" xr:uid="{00000000-0005-0000-0000-0000D7010000}"/>
    <cellStyle name="Millares [0]_19 02 01" xfId="477" xr:uid="{00000000-0005-0000-0000-0000D8010000}"/>
    <cellStyle name="Millares [2]" xfId="478" xr:uid="{00000000-0005-0000-0000-0000D9010000}"/>
    <cellStyle name="Millares_19 02 01" xfId="479" xr:uid="{00000000-0005-0000-0000-0000DA010000}"/>
    <cellStyle name="Milliers [0]_laroux" xfId="480" xr:uid="{00000000-0005-0000-0000-0000DB010000}"/>
    <cellStyle name="Milliers_laroux" xfId="481" xr:uid="{00000000-0005-0000-0000-0000DC010000}"/>
    <cellStyle name="Moeda [0]_alocação por fontes" xfId="482" xr:uid="{00000000-0005-0000-0000-0000DD010000}"/>
    <cellStyle name="Moeda_alocação por fontes" xfId="483" xr:uid="{00000000-0005-0000-0000-0000DE010000}"/>
    <cellStyle name="Moneda [0]_19 02 01" xfId="484" xr:uid="{00000000-0005-0000-0000-0000DF010000}"/>
    <cellStyle name="Moneda_19 02 01" xfId="485" xr:uid="{00000000-0005-0000-0000-0000E0010000}"/>
    <cellStyle name="Monétaire [0]_laroux" xfId="486" xr:uid="{00000000-0005-0000-0000-0000E1010000}"/>
    <cellStyle name="Monétaire_laroux" xfId="487" xr:uid="{00000000-0005-0000-0000-0000E2010000}"/>
    <cellStyle name="Multiple" xfId="488" xr:uid="{00000000-0005-0000-0000-0000E3010000}"/>
    <cellStyle name="Neutral" xfId="489" xr:uid="{00000000-0005-0000-0000-0000E4010000}"/>
    <cellStyle name="Neutral 2" xfId="490" xr:uid="{00000000-0005-0000-0000-0000E5010000}"/>
    <cellStyle name="No-definido" xfId="491" xr:uid="{00000000-0005-0000-0000-0000E6010000}"/>
    <cellStyle name="Norma11l" xfId="492" xr:uid="{00000000-0005-0000-0000-0000E7010000}"/>
    <cellStyle name="Normal - Style1" xfId="493" xr:uid="{00000000-0005-0000-0000-0000E8010000}"/>
    <cellStyle name="Normal - Style1 2" xfId="494" xr:uid="{00000000-0005-0000-0000-0000E9010000}"/>
    <cellStyle name="Normal - Style1 3" xfId="495" xr:uid="{00000000-0005-0000-0000-0000EA010000}"/>
    <cellStyle name="Normal - Style1 4" xfId="496" xr:uid="{00000000-0005-0000-0000-0000EB010000}"/>
    <cellStyle name="Normal - Style1 5" xfId="497" xr:uid="{00000000-0005-0000-0000-0000EC010000}"/>
    <cellStyle name="Normal - Style1 6" xfId="498" xr:uid="{00000000-0005-0000-0000-0000ED010000}"/>
    <cellStyle name="Normal - Style1 7" xfId="499" xr:uid="{00000000-0005-0000-0000-0000EE010000}"/>
    <cellStyle name="Normal - Style1 8" xfId="500" xr:uid="{00000000-0005-0000-0000-0000EF010000}"/>
    <cellStyle name="Normal - Style1_Лист1" xfId="501" xr:uid="{00000000-0005-0000-0000-0000F0010000}"/>
    <cellStyle name="Normal 10" xfId="502" xr:uid="{00000000-0005-0000-0000-0000F1010000}"/>
    <cellStyle name="Normal 11" xfId="503" xr:uid="{00000000-0005-0000-0000-0000F2010000}"/>
    <cellStyle name="Normal 12" xfId="504" xr:uid="{00000000-0005-0000-0000-0000F3010000}"/>
    <cellStyle name="Normal 13" xfId="505" xr:uid="{00000000-0005-0000-0000-0000F4010000}"/>
    <cellStyle name="Normal 14" xfId="506" xr:uid="{00000000-0005-0000-0000-0000F5010000}"/>
    <cellStyle name="Normal 15" xfId="507" xr:uid="{00000000-0005-0000-0000-0000F6010000}"/>
    <cellStyle name="Normal 2" xfId="508" xr:uid="{00000000-0005-0000-0000-0000F7010000}"/>
    <cellStyle name="Normal 2 2" xfId="509" xr:uid="{00000000-0005-0000-0000-0000F8010000}"/>
    <cellStyle name="Normal 2 2 2" xfId="510" xr:uid="{00000000-0005-0000-0000-0000F9010000}"/>
    <cellStyle name="Normal 2 3" xfId="511" xr:uid="{00000000-0005-0000-0000-0000FA010000}"/>
    <cellStyle name="Normal 2 4" xfId="512" xr:uid="{00000000-0005-0000-0000-0000FB010000}"/>
    <cellStyle name="Normal 2 5" xfId="513" xr:uid="{00000000-0005-0000-0000-0000FC010000}"/>
    <cellStyle name="Normal 2 6" xfId="514" xr:uid="{00000000-0005-0000-0000-0000FD010000}"/>
    <cellStyle name="Normal 2_Расчёты Цветной_на обороте-2" xfId="515" xr:uid="{00000000-0005-0000-0000-0000FE010000}"/>
    <cellStyle name="Normal 3" xfId="516" xr:uid="{00000000-0005-0000-0000-0000FF010000}"/>
    <cellStyle name="Normal 3 2" xfId="517" xr:uid="{00000000-0005-0000-0000-000000020000}"/>
    <cellStyle name="Normal 3_Расчёты Цветной_на обороте-2" xfId="518" xr:uid="{00000000-0005-0000-0000-000001020000}"/>
    <cellStyle name="Normal 4" xfId="519" xr:uid="{00000000-0005-0000-0000-000002020000}"/>
    <cellStyle name="Normal 4 2" xfId="520" xr:uid="{00000000-0005-0000-0000-000003020000}"/>
    <cellStyle name="Normal 4 3" xfId="521" xr:uid="{00000000-0005-0000-0000-000004020000}"/>
    <cellStyle name="Normal 4 4" xfId="522" xr:uid="{00000000-0005-0000-0000-000005020000}"/>
    <cellStyle name="Normal 4 5" xfId="523" xr:uid="{00000000-0005-0000-0000-000006020000}"/>
    <cellStyle name="Normal 4 6" xfId="524" xr:uid="{00000000-0005-0000-0000-000007020000}"/>
    <cellStyle name="Normal 5" xfId="525" xr:uid="{00000000-0005-0000-0000-000008020000}"/>
    <cellStyle name="Normal 5 2" xfId="526" xr:uid="{00000000-0005-0000-0000-000009020000}"/>
    <cellStyle name="Normal 6" xfId="527" xr:uid="{00000000-0005-0000-0000-00000A020000}"/>
    <cellStyle name="Normal 6 2" xfId="528" xr:uid="{00000000-0005-0000-0000-00000B020000}"/>
    <cellStyle name="Normal 6 3" xfId="529" xr:uid="{00000000-0005-0000-0000-00000C020000}"/>
    <cellStyle name="Normal 6 3 2" xfId="530" xr:uid="{00000000-0005-0000-0000-00000D020000}"/>
    <cellStyle name="Normal 6 3 3" xfId="531" xr:uid="{00000000-0005-0000-0000-00000E020000}"/>
    <cellStyle name="Normal 6 3 4" xfId="532" xr:uid="{00000000-0005-0000-0000-00000F020000}"/>
    <cellStyle name="Normal 6 3 5" xfId="533" xr:uid="{00000000-0005-0000-0000-000010020000}"/>
    <cellStyle name="Normal 6 3 6" xfId="534" xr:uid="{00000000-0005-0000-0000-000011020000}"/>
    <cellStyle name="Normal 6 4" xfId="535" xr:uid="{00000000-0005-0000-0000-000012020000}"/>
    <cellStyle name="Normal 7" xfId="536" xr:uid="{00000000-0005-0000-0000-000013020000}"/>
    <cellStyle name="Normal 7 2" xfId="537" xr:uid="{00000000-0005-0000-0000-000014020000}"/>
    <cellStyle name="Normal 7 3" xfId="538" xr:uid="{00000000-0005-0000-0000-000015020000}"/>
    <cellStyle name="Normal 7 4" xfId="539" xr:uid="{00000000-0005-0000-0000-000016020000}"/>
    <cellStyle name="Normal 7 5" xfId="540" xr:uid="{00000000-0005-0000-0000-000017020000}"/>
    <cellStyle name="Normal 7 6" xfId="541" xr:uid="{00000000-0005-0000-0000-000018020000}"/>
    <cellStyle name="Normal 8" xfId="542" xr:uid="{00000000-0005-0000-0000-000019020000}"/>
    <cellStyle name="Normal 9" xfId="543" xr:uid="{00000000-0005-0000-0000-00001A020000}"/>
    <cellStyle name="Normal_080804 Template of Budget 2009 MC_" xfId="544" xr:uid="{00000000-0005-0000-0000-00001B020000}"/>
    <cellStyle name="Normál_Cash needs template I1" xfId="545" xr:uid="{00000000-0005-0000-0000-00001C020000}"/>
    <cellStyle name="Normal_DEVELOPMENT BUDGET PROFORMA" xfId="546" xr:uid="{00000000-0005-0000-0000-00001D020000}"/>
    <cellStyle name="normální_200407 July report CSC" xfId="547" xr:uid="{00000000-0005-0000-0000-00001E020000}"/>
    <cellStyle name="Normalny_actual-budgetC,D,E (1)" xfId="548" xr:uid="{00000000-0005-0000-0000-00001F020000}"/>
    <cellStyle name="normбlnм_laroux" xfId="549" xr:uid="{00000000-0005-0000-0000-000020020000}"/>
    <cellStyle name="Note" xfId="550" xr:uid="{00000000-0005-0000-0000-000021020000}"/>
    <cellStyle name="Note 2" xfId="551" xr:uid="{00000000-0005-0000-0000-000022020000}"/>
    <cellStyle name="Notes" xfId="552" xr:uid="{00000000-0005-0000-0000-000023020000}"/>
    <cellStyle name="Nulos" xfId="553" xr:uid="{00000000-0005-0000-0000-000024020000}"/>
    <cellStyle name="Number" xfId="554" xr:uid="{00000000-0005-0000-0000-000025020000}"/>
    <cellStyle name="Oficio" xfId="555" xr:uid="{00000000-0005-0000-0000-000026020000}"/>
    <cellStyle name="Output" xfId="556" xr:uid="{00000000-0005-0000-0000-000027020000}"/>
    <cellStyle name="Output 2" xfId="557" xr:uid="{00000000-0005-0000-0000-000028020000}"/>
    <cellStyle name="Override" xfId="558" xr:uid="{00000000-0005-0000-0000-000029020000}"/>
    <cellStyle name="Percent (0)" xfId="559" xr:uid="{00000000-0005-0000-0000-00002A020000}"/>
    <cellStyle name="Percent (0) 2" xfId="560" xr:uid="{00000000-0005-0000-0000-00002B020000}"/>
    <cellStyle name="Percent (0) 3" xfId="561" xr:uid="{00000000-0005-0000-0000-00002C020000}"/>
    <cellStyle name="Percent (0) 4" xfId="562" xr:uid="{00000000-0005-0000-0000-00002D020000}"/>
    <cellStyle name="Percent (0) 5" xfId="563" xr:uid="{00000000-0005-0000-0000-00002E020000}"/>
    <cellStyle name="Percent (0) 6" xfId="564" xr:uid="{00000000-0005-0000-0000-00002F020000}"/>
    <cellStyle name="Percent (0) 7" xfId="565" xr:uid="{00000000-0005-0000-0000-000030020000}"/>
    <cellStyle name="Percent (0) 8" xfId="566" xr:uid="{00000000-0005-0000-0000-000031020000}"/>
    <cellStyle name="Percent [0]" xfId="567" xr:uid="{00000000-0005-0000-0000-000032020000}"/>
    <cellStyle name="Percent [00]" xfId="568" xr:uid="{00000000-0005-0000-0000-000033020000}"/>
    <cellStyle name="Percent [2]" xfId="569" xr:uid="{00000000-0005-0000-0000-000034020000}"/>
    <cellStyle name="Percent [2] 10" xfId="570" xr:uid="{00000000-0005-0000-0000-000035020000}"/>
    <cellStyle name="Percent [2] 11" xfId="571" xr:uid="{00000000-0005-0000-0000-000036020000}"/>
    <cellStyle name="Percent [2] 12" xfId="572" xr:uid="{00000000-0005-0000-0000-000037020000}"/>
    <cellStyle name="Percent [2] 13" xfId="573" xr:uid="{00000000-0005-0000-0000-000038020000}"/>
    <cellStyle name="Percent [2] 14" xfId="574" xr:uid="{00000000-0005-0000-0000-000039020000}"/>
    <cellStyle name="Percent [2] 15" xfId="575" xr:uid="{00000000-0005-0000-0000-00003A020000}"/>
    <cellStyle name="Percent [2] 16" xfId="576" xr:uid="{00000000-0005-0000-0000-00003B020000}"/>
    <cellStyle name="Percent [2] 17" xfId="577" xr:uid="{00000000-0005-0000-0000-00003C020000}"/>
    <cellStyle name="Percent [2] 18" xfId="578" xr:uid="{00000000-0005-0000-0000-00003D020000}"/>
    <cellStyle name="Percent [2] 2" xfId="579" xr:uid="{00000000-0005-0000-0000-00003E020000}"/>
    <cellStyle name="Percent [2] 3" xfId="580" xr:uid="{00000000-0005-0000-0000-00003F020000}"/>
    <cellStyle name="Percent [2] 4" xfId="581" xr:uid="{00000000-0005-0000-0000-000040020000}"/>
    <cellStyle name="Percent [2] 5" xfId="582" xr:uid="{00000000-0005-0000-0000-000041020000}"/>
    <cellStyle name="Percent [2] 6" xfId="583" xr:uid="{00000000-0005-0000-0000-000042020000}"/>
    <cellStyle name="Percent [2] 7" xfId="584" xr:uid="{00000000-0005-0000-0000-000043020000}"/>
    <cellStyle name="Percent [2] 8" xfId="585" xr:uid="{00000000-0005-0000-0000-000044020000}"/>
    <cellStyle name="Percent [2] 9" xfId="586" xr:uid="{00000000-0005-0000-0000-000045020000}"/>
    <cellStyle name="Percent 10" xfId="587" xr:uid="{00000000-0005-0000-0000-000046020000}"/>
    <cellStyle name="Percent 11" xfId="588" xr:uid="{00000000-0005-0000-0000-000047020000}"/>
    <cellStyle name="Percent 2" xfId="589" xr:uid="{00000000-0005-0000-0000-000048020000}"/>
    <cellStyle name="Percent 2 2" xfId="590" xr:uid="{00000000-0005-0000-0000-000049020000}"/>
    <cellStyle name="Percent 3" xfId="591" xr:uid="{00000000-0005-0000-0000-00004A020000}"/>
    <cellStyle name="Percent 4" xfId="592" xr:uid="{00000000-0005-0000-0000-00004B020000}"/>
    <cellStyle name="Percent 4 2" xfId="593" xr:uid="{00000000-0005-0000-0000-00004C020000}"/>
    <cellStyle name="Percent 4 3" xfId="594" xr:uid="{00000000-0005-0000-0000-00004D020000}"/>
    <cellStyle name="Percent 4 4" xfId="595" xr:uid="{00000000-0005-0000-0000-00004E020000}"/>
    <cellStyle name="Percent 4 5" xfId="596" xr:uid="{00000000-0005-0000-0000-00004F020000}"/>
    <cellStyle name="Percent 4 6" xfId="597" xr:uid="{00000000-0005-0000-0000-000050020000}"/>
    <cellStyle name="Percent 5" xfId="598" xr:uid="{00000000-0005-0000-0000-000051020000}"/>
    <cellStyle name="Percent 5 2" xfId="599" xr:uid="{00000000-0005-0000-0000-000052020000}"/>
    <cellStyle name="Percent 6" xfId="600" xr:uid="{00000000-0005-0000-0000-000053020000}"/>
    <cellStyle name="Percent 7" xfId="601" xr:uid="{00000000-0005-0000-0000-000054020000}"/>
    <cellStyle name="Percent 8" xfId="602" xr:uid="{00000000-0005-0000-0000-000055020000}"/>
    <cellStyle name="Percent 9" xfId="603" xr:uid="{00000000-0005-0000-0000-000056020000}"/>
    <cellStyle name="Percentage" xfId="604" xr:uid="{00000000-0005-0000-0000-000057020000}"/>
    <cellStyle name="Porcentagem_Cenário Básico" xfId="605" xr:uid="{00000000-0005-0000-0000-000058020000}"/>
    <cellStyle name="Porcentual_mov_dolar" xfId="606" xr:uid="{00000000-0005-0000-0000-000059020000}"/>
    <cellStyle name="PrePop Currency (0)" xfId="607" xr:uid="{00000000-0005-0000-0000-00005A020000}"/>
    <cellStyle name="PrePop Currency (2)" xfId="608" xr:uid="{00000000-0005-0000-0000-00005B020000}"/>
    <cellStyle name="PrePop Units (0)" xfId="609" xr:uid="{00000000-0005-0000-0000-00005C020000}"/>
    <cellStyle name="PrePop Units (1)" xfId="610" xr:uid="{00000000-0005-0000-0000-00005D020000}"/>
    <cellStyle name="PrePop Units (2)" xfId="611" xr:uid="{00000000-0005-0000-0000-00005E020000}"/>
    <cellStyle name="Proc en dec" xfId="612" xr:uid="{00000000-0005-0000-0000-00005F020000}"/>
    <cellStyle name="protect" xfId="613" xr:uid="{00000000-0005-0000-0000-000060020000}"/>
    <cellStyle name="Red Text" xfId="614" xr:uid="{00000000-0005-0000-0000-000061020000}"/>
    <cellStyle name="RevList" xfId="615" xr:uid="{00000000-0005-0000-0000-000062020000}"/>
    <cellStyle name="RevList 2" xfId="616" xr:uid="{00000000-0005-0000-0000-000063020000}"/>
    <cellStyle name="RevList 3" xfId="617" xr:uid="{00000000-0005-0000-0000-000064020000}"/>
    <cellStyle name="RevList 4" xfId="618" xr:uid="{00000000-0005-0000-0000-000065020000}"/>
    <cellStyle name="RevList 5" xfId="619" xr:uid="{00000000-0005-0000-0000-000066020000}"/>
    <cellStyle name="RevList 6" xfId="620" xr:uid="{00000000-0005-0000-0000-000067020000}"/>
    <cellStyle name="RevList 7" xfId="621" xr:uid="{00000000-0005-0000-0000-000068020000}"/>
    <cellStyle name="RevList_Лист1" xfId="622" xr:uid="{00000000-0005-0000-0000-000069020000}"/>
    <cellStyle name="Row Heading 1" xfId="623" xr:uid="{00000000-0005-0000-0000-00006A020000}"/>
    <cellStyle name="Row Heading 2" xfId="624" xr:uid="{00000000-0005-0000-0000-00006B020000}"/>
    <cellStyle name="Separador de milhares [0]_ANALISE_backup 14_08_1345" xfId="625" xr:uid="{00000000-0005-0000-0000-00006C020000}"/>
    <cellStyle name="Separador de milhares_ANALISE_backup 14_08_1345" xfId="626" xr:uid="{00000000-0005-0000-0000-00006D020000}"/>
    <cellStyle name="Shading" xfId="627" xr:uid="{00000000-0005-0000-0000-00006E020000}"/>
    <cellStyle name="Sheet Title" xfId="628" xr:uid="{00000000-0005-0000-0000-00006F020000}"/>
    <cellStyle name="standard" xfId="629" xr:uid="{00000000-0005-0000-0000-000070020000}"/>
    <cellStyle name="Standard1" xfId="630" xr:uid="{00000000-0005-0000-0000-000071020000}"/>
    <cellStyle name="STD" xfId="631" xr:uid="{00000000-0005-0000-0000-000072020000}"/>
    <cellStyle name="Style 1" xfId="632" xr:uid="{00000000-0005-0000-0000-000073020000}"/>
    <cellStyle name="Subtotal" xfId="633" xr:uid="{00000000-0005-0000-0000-000074020000}"/>
    <cellStyle name="Table (%)" xfId="634" xr:uid="{00000000-0005-0000-0000-000075020000}"/>
    <cellStyle name="Table (0,000)" xfId="635" xr:uid="{00000000-0005-0000-0000-000076020000}"/>
    <cellStyle name="Table (0.00)" xfId="636" xr:uid="{00000000-0005-0000-0000-000077020000}"/>
    <cellStyle name="Table (0.000)" xfId="637" xr:uid="{00000000-0005-0000-0000-000078020000}"/>
    <cellStyle name="tabletitle" xfId="638" xr:uid="{00000000-0005-0000-0000-000079020000}"/>
    <cellStyle name="text" xfId="639" xr:uid="{00000000-0005-0000-0000-00007A020000}"/>
    <cellStyle name="Text Indent A" xfId="640" xr:uid="{00000000-0005-0000-0000-00007B020000}"/>
    <cellStyle name="Text Indent B" xfId="641" xr:uid="{00000000-0005-0000-0000-00007C020000}"/>
    <cellStyle name="Text Indent C" xfId="642" xr:uid="{00000000-0005-0000-0000-00007D020000}"/>
    <cellStyle name="Tickmark" xfId="643" xr:uid="{00000000-0005-0000-0000-00007E020000}"/>
    <cellStyle name="Times New Roman" xfId="644" xr:uid="{00000000-0005-0000-0000-00007F020000}"/>
    <cellStyle name="Title" xfId="645" xr:uid="{00000000-0005-0000-0000-000080020000}"/>
    <cellStyle name="Title 2" xfId="646" xr:uid="{00000000-0005-0000-0000-000081020000}"/>
    <cellStyle name="title1" xfId="647" xr:uid="{00000000-0005-0000-0000-000082020000}"/>
    <cellStyle name="title2" xfId="648" xr:uid="{00000000-0005-0000-0000-000083020000}"/>
    <cellStyle name="title3" xfId="649" xr:uid="{00000000-0005-0000-0000-000084020000}"/>
    <cellStyle name="Total" xfId="650" xr:uid="{00000000-0005-0000-0000-000085020000}"/>
    <cellStyle name="Total 2" xfId="651" xr:uid="{00000000-0005-0000-0000-000086020000}"/>
    <cellStyle name="Tre dec %" xfId="652" xr:uid="{00000000-0005-0000-0000-000087020000}"/>
    <cellStyle name="Tusental (0)_hyra" xfId="653" xr:uid="{00000000-0005-0000-0000-000088020000}"/>
    <cellStyle name="Två dec" xfId="654" xr:uid="{00000000-0005-0000-0000-000089020000}"/>
    <cellStyle name="unprotect" xfId="655" xr:uid="{00000000-0005-0000-0000-00008A020000}"/>
    <cellStyle name="unprotect 2" xfId="656" xr:uid="{00000000-0005-0000-0000-00008B020000}"/>
    <cellStyle name="vaca" xfId="657" xr:uid="{00000000-0005-0000-0000-00008C020000}"/>
    <cellStyle name="Valuta (0)_Bil_Hyresg (2)" xfId="658" xr:uid="{00000000-0005-0000-0000-00008D020000}"/>
    <cellStyle name="Währung [0]_Tabelle4" xfId="659" xr:uid="{00000000-0005-0000-0000-00008E020000}"/>
    <cellStyle name="Währung_Tabelle4" xfId="660" xr:uid="{00000000-0005-0000-0000-00008F020000}"/>
    <cellStyle name="Walutowy_forecast TEMPLATE 8 miesicy" xfId="661" xr:uid="{00000000-0005-0000-0000-000090020000}"/>
    <cellStyle name="Warning Text" xfId="662" xr:uid="{00000000-0005-0000-0000-000091020000}"/>
    <cellStyle name="Warning Text 2" xfId="663" xr:uid="{00000000-0005-0000-0000-000092020000}"/>
    <cellStyle name="wrap" xfId="664" xr:uid="{00000000-0005-0000-0000-000093020000}"/>
    <cellStyle name="Yellow" xfId="665" xr:uid="{00000000-0005-0000-0000-000094020000}"/>
    <cellStyle name="Акцент1 2" xfId="666" xr:uid="{00000000-0005-0000-0000-000095020000}"/>
    <cellStyle name="Акцент1 3" xfId="667" xr:uid="{00000000-0005-0000-0000-000096020000}"/>
    <cellStyle name="Акцент1 4" xfId="668" xr:uid="{00000000-0005-0000-0000-000097020000}"/>
    <cellStyle name="Акцент2 2" xfId="669" xr:uid="{00000000-0005-0000-0000-000098020000}"/>
    <cellStyle name="Акцент2 3" xfId="670" xr:uid="{00000000-0005-0000-0000-000099020000}"/>
    <cellStyle name="Акцент2 4" xfId="671" xr:uid="{00000000-0005-0000-0000-00009A020000}"/>
    <cellStyle name="Акцент3 2" xfId="672" xr:uid="{00000000-0005-0000-0000-00009B020000}"/>
    <cellStyle name="Акцент3 3" xfId="673" xr:uid="{00000000-0005-0000-0000-00009C020000}"/>
    <cellStyle name="Акцент3 4" xfId="674" xr:uid="{00000000-0005-0000-0000-00009D020000}"/>
    <cellStyle name="Акцент4 2" xfId="675" xr:uid="{00000000-0005-0000-0000-00009E020000}"/>
    <cellStyle name="Акцент4 3" xfId="676" xr:uid="{00000000-0005-0000-0000-00009F020000}"/>
    <cellStyle name="Акцент4 4" xfId="677" xr:uid="{00000000-0005-0000-0000-0000A0020000}"/>
    <cellStyle name="Акцент5 2" xfId="678" xr:uid="{00000000-0005-0000-0000-0000A1020000}"/>
    <cellStyle name="Акцент5 3" xfId="679" xr:uid="{00000000-0005-0000-0000-0000A2020000}"/>
    <cellStyle name="Акцент5 4" xfId="680" xr:uid="{00000000-0005-0000-0000-0000A3020000}"/>
    <cellStyle name="Акцент6 2" xfId="681" xr:uid="{00000000-0005-0000-0000-0000A4020000}"/>
    <cellStyle name="Акцент6 3" xfId="682" xr:uid="{00000000-0005-0000-0000-0000A5020000}"/>
    <cellStyle name="Акцент6 4" xfId="683" xr:uid="{00000000-0005-0000-0000-0000A6020000}"/>
    <cellStyle name="Ввод  2" xfId="684" xr:uid="{00000000-0005-0000-0000-0000A7020000}"/>
    <cellStyle name="Ввод  3" xfId="685" xr:uid="{00000000-0005-0000-0000-0000A8020000}"/>
    <cellStyle name="Ввод  4" xfId="686" xr:uid="{00000000-0005-0000-0000-0000A9020000}"/>
    <cellStyle name="Вывод 2" xfId="687" xr:uid="{00000000-0005-0000-0000-0000AA020000}"/>
    <cellStyle name="Вывод 3" xfId="688" xr:uid="{00000000-0005-0000-0000-0000AB020000}"/>
    <cellStyle name="Вывод 4" xfId="689" xr:uid="{00000000-0005-0000-0000-0000AC020000}"/>
    <cellStyle name="Вычисление 2" xfId="690" xr:uid="{00000000-0005-0000-0000-0000AD020000}"/>
    <cellStyle name="Вычисление 3" xfId="691" xr:uid="{00000000-0005-0000-0000-0000AE020000}"/>
    <cellStyle name="Вычисление 4" xfId="692" xr:uid="{00000000-0005-0000-0000-0000AF020000}"/>
    <cellStyle name="Гиперссылка 2" xfId="693" xr:uid="{00000000-0005-0000-0000-0000B0020000}"/>
    <cellStyle name="Денежный [0] 2" xfId="694" xr:uid="{00000000-0005-0000-0000-0000B1020000}"/>
    <cellStyle name="Денежный 2" xfId="695" xr:uid="{00000000-0005-0000-0000-0000B2020000}"/>
    <cellStyle name="Денежный 2 2" xfId="696" xr:uid="{00000000-0005-0000-0000-0000B3020000}"/>
    <cellStyle name="Денежный 2 3" xfId="697" xr:uid="{00000000-0005-0000-0000-0000B4020000}"/>
    <cellStyle name="Заголовок 1 2" xfId="698" xr:uid="{00000000-0005-0000-0000-0000B5020000}"/>
    <cellStyle name="Заголовок 1 3" xfId="699" xr:uid="{00000000-0005-0000-0000-0000B6020000}"/>
    <cellStyle name="Заголовок 1 4" xfId="700" xr:uid="{00000000-0005-0000-0000-0000B7020000}"/>
    <cellStyle name="Заголовок 2 2" xfId="701" xr:uid="{00000000-0005-0000-0000-0000B8020000}"/>
    <cellStyle name="Заголовок 2 3" xfId="702" xr:uid="{00000000-0005-0000-0000-0000B9020000}"/>
    <cellStyle name="Заголовок 2 4" xfId="703" xr:uid="{00000000-0005-0000-0000-0000BA020000}"/>
    <cellStyle name="Заголовок 3 2" xfId="704" xr:uid="{00000000-0005-0000-0000-0000BB020000}"/>
    <cellStyle name="Заголовок 3 3" xfId="705" xr:uid="{00000000-0005-0000-0000-0000BC020000}"/>
    <cellStyle name="Заголовок 3 4" xfId="706" xr:uid="{00000000-0005-0000-0000-0000BD020000}"/>
    <cellStyle name="Заголовок 4 2" xfId="707" xr:uid="{00000000-0005-0000-0000-0000BE020000}"/>
    <cellStyle name="Заголовок 4 3" xfId="708" xr:uid="{00000000-0005-0000-0000-0000BF020000}"/>
    <cellStyle name="Заголовок 4 4" xfId="709" xr:uid="{00000000-0005-0000-0000-0000C0020000}"/>
    <cellStyle name="Заголовок2" xfId="710" xr:uid="{00000000-0005-0000-0000-0000C1020000}"/>
    <cellStyle name="Итог 2" xfId="711" xr:uid="{00000000-0005-0000-0000-0000C2020000}"/>
    <cellStyle name="Итог 3" xfId="712" xr:uid="{00000000-0005-0000-0000-0000C3020000}"/>
    <cellStyle name="Итог 4" xfId="713" xr:uid="{00000000-0005-0000-0000-0000C4020000}"/>
    <cellStyle name="Итого" xfId="714" xr:uid="{00000000-0005-0000-0000-0000C5020000}"/>
    <cellStyle name="Контрольная ячейка 2" xfId="715" xr:uid="{00000000-0005-0000-0000-0000C6020000}"/>
    <cellStyle name="Контрольная ячейка 3" xfId="716" xr:uid="{00000000-0005-0000-0000-0000C7020000}"/>
    <cellStyle name="Контрольная ячейка 4" xfId="717" xr:uid="{00000000-0005-0000-0000-0000C8020000}"/>
    <cellStyle name="Название 2" xfId="718" xr:uid="{00000000-0005-0000-0000-0000C9020000}"/>
    <cellStyle name="Название 3" xfId="719" xr:uid="{00000000-0005-0000-0000-0000CA020000}"/>
    <cellStyle name="Название таблицы" xfId="720" xr:uid="{00000000-0005-0000-0000-0000CB020000}"/>
    <cellStyle name="Нейтральный 2" xfId="721" xr:uid="{00000000-0005-0000-0000-0000CC020000}"/>
    <cellStyle name="Нейтральный 3" xfId="722" xr:uid="{00000000-0005-0000-0000-0000CD020000}"/>
    <cellStyle name="Нейтральный 4" xfId="723" xr:uid="{00000000-0005-0000-0000-0000CE020000}"/>
    <cellStyle name="Обычный" xfId="0" builtinId="0"/>
    <cellStyle name="Обычный 10" xfId="724" xr:uid="{00000000-0005-0000-0000-0000D0020000}"/>
    <cellStyle name="Обычный 11" xfId="842" xr:uid="{00000000-0005-0000-0000-0000D1020000}"/>
    <cellStyle name="Обычный 19" xfId="725" xr:uid="{00000000-0005-0000-0000-0000D2020000}"/>
    <cellStyle name="Обычный 2" xfId="3" xr:uid="{00000000-0005-0000-0000-0000D3020000}"/>
    <cellStyle name="Обычный 2 2" xfId="726" xr:uid="{00000000-0005-0000-0000-0000D4020000}"/>
    <cellStyle name="Обычный 2 2 2" xfId="5" xr:uid="{00000000-0005-0000-0000-0000D5020000}"/>
    <cellStyle name="Обычный 2 3" xfId="727" xr:uid="{00000000-0005-0000-0000-0000D6020000}"/>
    <cellStyle name="Обычный 2 4" xfId="728" xr:uid="{00000000-0005-0000-0000-0000D7020000}"/>
    <cellStyle name="Обычный 2_Арендный план Мытищи (отправил в СБ 01.08.2011)" xfId="729" xr:uid="{00000000-0005-0000-0000-0000D8020000}"/>
    <cellStyle name="Обычный 3" xfId="730" xr:uid="{00000000-0005-0000-0000-0000D9020000}"/>
    <cellStyle name="Обычный 3 2" xfId="731" xr:uid="{00000000-0005-0000-0000-0000DA020000}"/>
    <cellStyle name="Обычный 3 2 2" xfId="732" xr:uid="{00000000-0005-0000-0000-0000DB020000}"/>
    <cellStyle name="Обычный 3 2 3" xfId="733" xr:uid="{00000000-0005-0000-0000-0000DC020000}"/>
    <cellStyle name="Обычный 3 3" xfId="734" xr:uid="{00000000-0005-0000-0000-0000DD020000}"/>
    <cellStyle name="Обычный 3 3 2" xfId="735" xr:uid="{00000000-0005-0000-0000-0000DE020000}"/>
    <cellStyle name="Обычный 3_Арендный план Красноярск (отправил в СБ 27.09.2010)" xfId="736" xr:uid="{00000000-0005-0000-0000-0000DF020000}"/>
    <cellStyle name="Обычный 4" xfId="737" xr:uid="{00000000-0005-0000-0000-0000E0020000}"/>
    <cellStyle name="Обычный 4 2" xfId="738" xr:uid="{00000000-0005-0000-0000-0000E1020000}"/>
    <cellStyle name="Обычный 5" xfId="739" xr:uid="{00000000-0005-0000-0000-0000E2020000}"/>
    <cellStyle name="Обычный 6" xfId="740" xr:uid="{00000000-0005-0000-0000-0000E3020000}"/>
    <cellStyle name="Обычный 6 2" xfId="741" xr:uid="{00000000-0005-0000-0000-0000E4020000}"/>
    <cellStyle name="Обычный 6 2 2" xfId="742" xr:uid="{00000000-0005-0000-0000-0000E5020000}"/>
    <cellStyle name="Обычный 6 3" xfId="743" xr:uid="{00000000-0005-0000-0000-0000E6020000}"/>
    <cellStyle name="Обычный 7" xfId="744" xr:uid="{00000000-0005-0000-0000-0000E7020000}"/>
    <cellStyle name="Обычный 8" xfId="745" xr:uid="{00000000-0005-0000-0000-0000E8020000}"/>
    <cellStyle name="Обычный 9" xfId="746" xr:uid="{00000000-0005-0000-0000-0000E9020000}"/>
    <cellStyle name="Обычный_Форма отчета" xfId="1" xr:uid="{00000000-0005-0000-0000-0000EA020000}"/>
    <cellStyle name="Первый столбец" xfId="747" xr:uid="{00000000-0005-0000-0000-0000EB020000}"/>
    <cellStyle name="Плохой 2" xfId="748" xr:uid="{00000000-0005-0000-0000-0000EC020000}"/>
    <cellStyle name="Плохой 3" xfId="749" xr:uid="{00000000-0005-0000-0000-0000ED020000}"/>
    <cellStyle name="Плохой 4" xfId="750" xr:uid="{00000000-0005-0000-0000-0000EE020000}"/>
    <cellStyle name="Подзаголовок" xfId="751" xr:uid="{00000000-0005-0000-0000-0000EF020000}"/>
    <cellStyle name="Подитоги" xfId="752" xr:uid="{00000000-0005-0000-0000-0000F0020000}"/>
    <cellStyle name="Пояснение 2" xfId="753" xr:uid="{00000000-0005-0000-0000-0000F1020000}"/>
    <cellStyle name="Пояснение 3" xfId="754" xr:uid="{00000000-0005-0000-0000-0000F2020000}"/>
    <cellStyle name="Пояснение 4" xfId="755" xr:uid="{00000000-0005-0000-0000-0000F3020000}"/>
    <cellStyle name="Примечание 2" xfId="756" xr:uid="{00000000-0005-0000-0000-0000F4020000}"/>
    <cellStyle name="Примечание 2 2" xfId="757" xr:uid="{00000000-0005-0000-0000-0000F5020000}"/>
    <cellStyle name="Примечание 3" xfId="758" xr:uid="{00000000-0005-0000-0000-0000F6020000}"/>
    <cellStyle name="Примечание 4" xfId="759" xr:uid="{00000000-0005-0000-0000-0000F7020000}"/>
    <cellStyle name="Процентный" xfId="841" builtinId="5"/>
    <cellStyle name="Процентный 2" xfId="760" xr:uid="{00000000-0005-0000-0000-0000F9020000}"/>
    <cellStyle name="Процентный 2 2" xfId="761" xr:uid="{00000000-0005-0000-0000-0000FA020000}"/>
    <cellStyle name="Процентный 3" xfId="762" xr:uid="{00000000-0005-0000-0000-0000FB020000}"/>
    <cellStyle name="Процентный 3 2" xfId="763" xr:uid="{00000000-0005-0000-0000-0000FC020000}"/>
    <cellStyle name="Процентный 4" xfId="764" xr:uid="{00000000-0005-0000-0000-0000FD020000}"/>
    <cellStyle name="Процентный 5" xfId="765" xr:uid="{00000000-0005-0000-0000-0000FE020000}"/>
    <cellStyle name="Процентный 5 2" xfId="766" xr:uid="{00000000-0005-0000-0000-0000FF020000}"/>
    <cellStyle name="Процентный 6" xfId="767" xr:uid="{00000000-0005-0000-0000-000000030000}"/>
    <cellStyle name="Процентный 7" xfId="768" xr:uid="{00000000-0005-0000-0000-000001030000}"/>
    <cellStyle name="Проценты" xfId="769" xr:uid="{00000000-0005-0000-0000-000002030000}"/>
    <cellStyle name="Связанная ячейка 2" xfId="770" xr:uid="{00000000-0005-0000-0000-000003030000}"/>
    <cellStyle name="Связанная ячейка 3" xfId="771" xr:uid="{00000000-0005-0000-0000-000004030000}"/>
    <cellStyle name="Связанная ячейка 4" xfId="772" xr:uid="{00000000-0005-0000-0000-000005030000}"/>
    <cellStyle name="Стиль 1" xfId="773" xr:uid="{00000000-0005-0000-0000-000006030000}"/>
    <cellStyle name="т" xfId="774" xr:uid="{00000000-0005-0000-0000-000007030000}"/>
    <cellStyle name="т 2" xfId="775" xr:uid="{00000000-0005-0000-0000-000008030000}"/>
    <cellStyle name="т 3" xfId="776" xr:uid="{00000000-0005-0000-0000-000009030000}"/>
    <cellStyle name="т 4" xfId="777" xr:uid="{00000000-0005-0000-0000-00000A030000}"/>
    <cellStyle name="т 5" xfId="778" xr:uid="{00000000-0005-0000-0000-00000B030000}"/>
    <cellStyle name="т 6" xfId="779" xr:uid="{00000000-0005-0000-0000-00000C030000}"/>
    <cellStyle name="т 7" xfId="780" xr:uid="{00000000-0005-0000-0000-00000D030000}"/>
    <cellStyle name="т_Avion Budget 2009 ver Sawatzky - 09 12 08" xfId="781" xr:uid="{00000000-0005-0000-0000-00000E030000}"/>
    <cellStyle name="т_Avion Budget 2009 ver Sawatzky - 09 12 08 2" xfId="782" xr:uid="{00000000-0005-0000-0000-00000F030000}"/>
    <cellStyle name="т_Avion Budget 2009 ver Sawatzky - 09 12 08_Q1 2010" xfId="783" xr:uid="{00000000-0005-0000-0000-000010030000}"/>
    <cellStyle name="т_DIAPAZON BUDGET Sawatzky 24 12 2009" xfId="784" xr:uid="{00000000-0005-0000-0000-000011030000}"/>
    <cellStyle name="т_KRUGOZOR BUDGET 2009" xfId="785" xr:uid="{00000000-0005-0000-0000-000012030000}"/>
    <cellStyle name="т_KRUGOZOR MARKETING REPORT1" xfId="786" xr:uid="{00000000-0005-0000-0000-000013030000}"/>
    <cellStyle name="т_KRUGOZOR MARKETING REPORT1 2" xfId="787" xr:uid="{00000000-0005-0000-0000-000014030000}"/>
    <cellStyle name="т_KRUGOZOR MARKETING REPORT1 3" xfId="788" xr:uid="{00000000-0005-0000-0000-000015030000}"/>
    <cellStyle name="т_KRUGOZOR MARKETING REPORT1 4" xfId="789" xr:uid="{00000000-0005-0000-0000-000016030000}"/>
    <cellStyle name="т_KRUGOZOR MARKETING REPORT1 5" xfId="790" xr:uid="{00000000-0005-0000-0000-000017030000}"/>
    <cellStyle name="т_KRUGOZOR MARKETING REPORT1 6" xfId="791" xr:uid="{00000000-0005-0000-0000-000018030000}"/>
    <cellStyle name="т_KRUGOZOR MARKETING REPORT1 7" xfId="792" xr:uid="{00000000-0005-0000-0000-000019030000}"/>
    <cellStyle name="т_KRUGOZOR MARKETING REPORT1_Лист1" xfId="793" xr:uid="{00000000-0005-0000-0000-00001A030000}"/>
    <cellStyle name="т_KRUGOZOR MARKETING REPORT1_Лист1_Отчет по бюджету план-факт" xfId="794" xr:uid="{00000000-0005-0000-0000-00001B030000}"/>
    <cellStyle name="т_KRUGOZOR MARKETING REPORT1_Март" xfId="795" xr:uid="{00000000-0005-0000-0000-00001C030000}"/>
    <cellStyle name="т_KRUGOZOR MARKETING REPORT1_Отчет по бюджету план-факт" xfId="796" xr:uid="{00000000-0005-0000-0000-00001D030000}"/>
    <cellStyle name="т_KRUGOZOR MARKETING REPORT1_Отчет по бюджету план-факт ян" xfId="797" xr:uid="{00000000-0005-0000-0000-00001E030000}"/>
    <cellStyle name="т_KRUGOZOR MARKETING REPORT1_Отчет по бюджету план-факт.новый" xfId="798" xr:uid="{00000000-0005-0000-0000-00001F030000}"/>
    <cellStyle name="т_KRUGOZOR MARKETING REPORТ" xfId="799" xr:uid="{00000000-0005-0000-0000-000020030000}"/>
    <cellStyle name="т_Лист1" xfId="800" xr:uid="{00000000-0005-0000-0000-000021030000}"/>
    <cellStyle name="т_Лист1_Отчет по бюджету план-факт" xfId="801" xr:uid="{00000000-0005-0000-0000-000022030000}"/>
    <cellStyle name="т_Март" xfId="802" xr:uid="{00000000-0005-0000-0000-000023030000}"/>
    <cellStyle name="т_Отчет по бюджету план-факт" xfId="803" xr:uid="{00000000-0005-0000-0000-000024030000}"/>
    <cellStyle name="т_Отчет по бюджету план-факт ян" xfId="804" xr:uid="{00000000-0005-0000-0000-000025030000}"/>
    <cellStyle name="т_Отчет по бюджету план-факт.новый" xfId="805" xr:uid="{00000000-0005-0000-0000-000026030000}"/>
    <cellStyle name="Текст предупреждения 2" xfId="806" xr:uid="{00000000-0005-0000-0000-000027030000}"/>
    <cellStyle name="Текст предупреждения 3" xfId="807" xr:uid="{00000000-0005-0000-0000-000028030000}"/>
    <cellStyle name="Текст предупреждения 4" xfId="808" xr:uid="{00000000-0005-0000-0000-000029030000}"/>
    <cellStyle name="Тело таблицы" xfId="809" xr:uid="{00000000-0005-0000-0000-00002A030000}"/>
    <cellStyle name="Тысячи [0]_27.02 скоррект. " xfId="810" xr:uid="{00000000-0005-0000-0000-00002B030000}"/>
    <cellStyle name="Тысячи [а]" xfId="811" xr:uid="{00000000-0005-0000-0000-00002C030000}"/>
    <cellStyle name="Тысячи(0)" xfId="812" xr:uid="{00000000-0005-0000-0000-00002D030000}"/>
    <cellStyle name="Тысячи_27.02 скоррект. " xfId="813" xr:uid="{00000000-0005-0000-0000-00002E030000}"/>
    <cellStyle name="Упаковка" xfId="814" xr:uid="{00000000-0005-0000-0000-00002F030000}"/>
    <cellStyle name="Финансовый [0] 2" xfId="815" xr:uid="{00000000-0005-0000-0000-000030030000}"/>
    <cellStyle name="Финансовый [0] 2 2" xfId="816" xr:uid="{00000000-0005-0000-0000-000031030000}"/>
    <cellStyle name="Финансовый [0] 2 3" xfId="817" xr:uid="{00000000-0005-0000-0000-000032030000}"/>
    <cellStyle name="Финансовый [0] 3" xfId="818" xr:uid="{00000000-0005-0000-0000-000033030000}"/>
    <cellStyle name="Финансовый [0] 3 2" xfId="819" xr:uid="{00000000-0005-0000-0000-000034030000}"/>
    <cellStyle name="Финансовый [0] 4" xfId="820" xr:uid="{00000000-0005-0000-0000-000035030000}"/>
    <cellStyle name="Финансовый [0] 5" xfId="821" xr:uid="{00000000-0005-0000-0000-000036030000}"/>
    <cellStyle name="Финансовый 10" xfId="822" xr:uid="{00000000-0005-0000-0000-000037030000}"/>
    <cellStyle name="Финансовый 2" xfId="2" xr:uid="{00000000-0005-0000-0000-000038030000}"/>
    <cellStyle name="Финансовый 2 2" xfId="823" xr:uid="{00000000-0005-0000-0000-000039030000}"/>
    <cellStyle name="Финансовый 2 2 2" xfId="824" xr:uid="{00000000-0005-0000-0000-00003A030000}"/>
    <cellStyle name="Финансовый 2 3" xfId="825" xr:uid="{00000000-0005-0000-0000-00003B030000}"/>
    <cellStyle name="Финансовый 2_Арендный план Красноярск (отправил в СБ 27.09.2010)" xfId="826" xr:uid="{00000000-0005-0000-0000-00003C030000}"/>
    <cellStyle name="Финансовый 3" xfId="827" xr:uid="{00000000-0005-0000-0000-00003D030000}"/>
    <cellStyle name="Финансовый 3 2" xfId="828" xr:uid="{00000000-0005-0000-0000-00003E030000}"/>
    <cellStyle name="Финансовый 3 2 2" xfId="829" xr:uid="{00000000-0005-0000-0000-00003F030000}"/>
    <cellStyle name="Финансовый 4" xfId="830" xr:uid="{00000000-0005-0000-0000-000040030000}"/>
    <cellStyle name="Финансовый 4 2" xfId="831" xr:uid="{00000000-0005-0000-0000-000041030000}"/>
    <cellStyle name="Финансовый 5" xfId="832" xr:uid="{00000000-0005-0000-0000-000042030000}"/>
    <cellStyle name="Финансовый 6" xfId="833" xr:uid="{00000000-0005-0000-0000-000043030000}"/>
    <cellStyle name="Финансовый 6 2" xfId="834" xr:uid="{00000000-0005-0000-0000-000044030000}"/>
    <cellStyle name="Хороший 2" xfId="835" xr:uid="{00000000-0005-0000-0000-000045030000}"/>
    <cellStyle name="Хороший 3" xfId="836" xr:uid="{00000000-0005-0000-0000-000046030000}"/>
    <cellStyle name="Хороший 4" xfId="837" xr:uid="{00000000-0005-0000-0000-000047030000}"/>
    <cellStyle name="ЏђЋ–…Ќ’Ќ›‰" xfId="838" xr:uid="{00000000-0005-0000-0000-000048030000}"/>
    <cellStyle name="ЏђЋ–…Ќ’Ќ›‰ 2" xfId="839" xr:uid="{00000000-0005-0000-0000-000049030000}"/>
    <cellStyle name="Ячейка1" xfId="840" xr:uid="{00000000-0005-0000-0000-00004A030000}"/>
  </cellStyles>
  <dxfs count="0"/>
  <tableStyles count="0" defaultTableStyle="TableStyleMedium2" defaultPivotStyle="PivotStyleLight16"/>
  <colors>
    <mruColors>
      <color rgb="FF0000FF"/>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atarenko\!&#1086;&#1073;&#1084;&#1077;&#1085;\Documents%20and%20Settings\&#1058;&#1072;&#1090;&#1072;&#1088;&#1077;&#1085;&#1082;&#1086;\&#1052;&#1086;&#1080;%20&#1076;&#1086;&#1082;&#1091;&#1084;&#1077;&#1085;&#1090;&#1099;\!!&#1062;&#1077;&#1085;&#1090;&#1088;-&#1075;&#1072;&#1079;\&#1054;&#1073;&#1098;&#1077;&#1082;&#1090;&#1099;%20&#1057;&#1086;&#1095;&#1080;\&#1054;&#1073;&#1098;&#1077;&#1082;&#1090;%20&#8470;1%20&#1043;&#1072;&#1075;&#1088;&#1080;&#1085;&#1089;&#1082;&#1072;&#1103;\&#1056;&#1072;&#1089;&#1095;&#1077;&#1090;&#1085;&#1099;&#1077;\&#1055;&#1077;&#1088;&#1074;&#1080;&#1095;&#1085;&#1099;&#1081;%20&#1072;&#1085;&#1072;&#1083;&#1080;&#1079;%201&#105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aykina-SS/AppData/Local/Microsoft/Windows/Temporary%20Internet%20Files/Content.Outlook/7CVOQG4P/1_1_&#1055;&#1077;&#1088;&#1077;&#1095;&#1077;&#1085;&#1100;%202017%2004%2005%20&#1089;%20&#1057;&#104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Экономические расчеты"/>
      <sheetName val="График"/>
      <sheetName val="Календарный план"/>
      <sheetName val="Смета расходов"/>
      <sheetName val="14.05.04"/>
      <sheetName val="Экономические расчеты Род"/>
      <sheetName val="Variables"/>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Входные данные"/>
      <sheetName val="Документы по сделке"/>
      <sheetName val="Документы от клиента"/>
      <sheetName val="Полный перечень документов"/>
    </sheetNames>
    <sheetDataSet>
      <sheetData sheetId="0">
        <row r="87">
          <cell r="C87" t="str">
            <v>ПКД</v>
          </cell>
        </row>
        <row r="88">
          <cell r="C88" t="str">
            <v>ОД</v>
          </cell>
        </row>
        <row r="89">
          <cell r="C89" t="str">
            <v>КЗН</v>
          </cell>
        </row>
        <row r="90">
          <cell r="C90" t="str">
            <v xml:space="preserve">КЗРО </v>
          </cell>
        </row>
      </sheetData>
      <sheetData sheetId="1"/>
      <sheetData sheetId="2"/>
      <sheetData sheetId="3"/>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topLeftCell="A4" zoomScale="70" zoomScaleNormal="70" workbookViewId="0">
      <selection activeCell="H7" sqref="H7"/>
    </sheetView>
  </sheetViews>
  <sheetFormatPr defaultColWidth="9.109375" defaultRowHeight="13.2"/>
  <cols>
    <col min="1" max="1" width="8.44140625" style="103" customWidth="1"/>
    <col min="2" max="2" width="70.33203125" style="97" customWidth="1"/>
    <col min="3" max="3" width="58.33203125" style="97" customWidth="1"/>
    <col min="4" max="4" width="21.6640625" style="97" customWidth="1"/>
    <col min="5" max="5" width="56.33203125" style="103" customWidth="1"/>
    <col min="6" max="6" width="23.44140625" style="103" customWidth="1"/>
    <col min="7" max="8" width="22" style="103" customWidth="1"/>
    <col min="9" max="9" width="40.109375" style="97" customWidth="1"/>
    <col min="10" max="10" width="13.88671875" style="97" customWidth="1"/>
    <col min="11" max="16384" width="9.109375" style="97"/>
  </cols>
  <sheetData>
    <row r="1" spans="1:9">
      <c r="I1" s="118" t="s">
        <v>284</v>
      </c>
    </row>
    <row r="2" spans="1:9">
      <c r="A2" s="130" t="s">
        <v>4</v>
      </c>
      <c r="B2" s="130"/>
      <c r="C2" s="130"/>
      <c r="D2" s="130"/>
      <c r="E2" s="130"/>
      <c r="F2" s="130"/>
      <c r="G2" s="130"/>
      <c r="H2" s="130"/>
      <c r="I2" s="130"/>
    </row>
    <row r="3" spans="1:9" ht="66">
      <c r="A3" s="91" t="s">
        <v>12</v>
      </c>
      <c r="B3" s="91" t="s">
        <v>0</v>
      </c>
      <c r="C3" s="104" t="s">
        <v>1</v>
      </c>
      <c r="D3" s="104" t="s">
        <v>255</v>
      </c>
      <c r="E3" s="91" t="s">
        <v>215</v>
      </c>
      <c r="F3" s="91" t="s">
        <v>208</v>
      </c>
      <c r="G3" s="91" t="s">
        <v>186</v>
      </c>
      <c r="H3" s="91" t="s">
        <v>204</v>
      </c>
      <c r="I3" s="91" t="s">
        <v>3</v>
      </c>
    </row>
    <row r="4" spans="1:9" ht="27.6">
      <c r="A4" s="10">
        <v>1</v>
      </c>
      <c r="B4" s="122" t="s">
        <v>229</v>
      </c>
      <c r="C4" s="132" t="s">
        <v>8</v>
      </c>
      <c r="D4" s="125" t="s">
        <v>230</v>
      </c>
      <c r="E4" s="125" t="s">
        <v>2</v>
      </c>
      <c r="F4" s="125" t="s">
        <v>10</v>
      </c>
      <c r="G4" s="125" t="s">
        <v>209</v>
      </c>
      <c r="H4" s="10" t="s">
        <v>259</v>
      </c>
      <c r="I4" s="98" t="s">
        <v>188</v>
      </c>
    </row>
    <row r="5" spans="1:9" ht="35.25" customHeight="1">
      <c r="A5" s="116">
        <v>2</v>
      </c>
      <c r="B5" s="124" t="s">
        <v>280</v>
      </c>
      <c r="C5" s="133"/>
      <c r="D5" s="126"/>
      <c r="E5" s="126"/>
      <c r="F5" s="126"/>
      <c r="G5" s="126"/>
      <c r="H5" s="10" t="s">
        <v>259</v>
      </c>
      <c r="I5" s="98"/>
    </row>
    <row r="6" spans="1:9" ht="92.4">
      <c r="A6" s="116">
        <v>3</v>
      </c>
      <c r="B6" s="123" t="s">
        <v>224</v>
      </c>
      <c r="C6" s="98" t="s">
        <v>6</v>
      </c>
      <c r="D6" s="98" t="s">
        <v>226</v>
      </c>
      <c r="E6" s="10" t="s">
        <v>2</v>
      </c>
      <c r="F6" s="10" t="s">
        <v>10</v>
      </c>
      <c r="G6" s="10" t="s">
        <v>209</v>
      </c>
      <c r="H6" s="10" t="s">
        <v>259</v>
      </c>
      <c r="I6" s="1" t="s">
        <v>203</v>
      </c>
    </row>
    <row r="7" spans="1:9" ht="70.5" customHeight="1">
      <c r="A7" s="10">
        <v>4</v>
      </c>
      <c r="B7" s="80" t="s">
        <v>201</v>
      </c>
      <c r="C7" s="80" t="s">
        <v>202</v>
      </c>
      <c r="D7" s="10" t="s">
        <v>232</v>
      </c>
      <c r="E7" s="10" t="s">
        <v>2</v>
      </c>
      <c r="F7" s="10" t="s">
        <v>2</v>
      </c>
      <c r="G7" s="10" t="s">
        <v>171</v>
      </c>
      <c r="H7" s="119" t="s">
        <v>260</v>
      </c>
      <c r="I7" s="1" t="s">
        <v>203</v>
      </c>
    </row>
    <row r="8" spans="1:9" ht="83.25" customHeight="1">
      <c r="A8" s="10">
        <v>5</v>
      </c>
      <c r="B8" s="80" t="s">
        <v>187</v>
      </c>
      <c r="C8" s="80" t="s">
        <v>7</v>
      </c>
      <c r="D8" s="10" t="s">
        <v>232</v>
      </c>
      <c r="E8" s="10" t="s">
        <v>207</v>
      </c>
      <c r="F8" s="10" t="s">
        <v>10</v>
      </c>
      <c r="G8" s="10" t="s">
        <v>210</v>
      </c>
      <c r="H8" s="10" t="s">
        <v>260</v>
      </c>
      <c r="I8" s="1" t="s">
        <v>237</v>
      </c>
    </row>
    <row r="9" spans="1:9" ht="66">
      <c r="A9" s="1">
        <v>6</v>
      </c>
      <c r="B9" s="80" t="s">
        <v>218</v>
      </c>
      <c r="C9" s="80" t="s">
        <v>219</v>
      </c>
      <c r="D9" s="10" t="s">
        <v>227</v>
      </c>
      <c r="E9" s="10" t="s">
        <v>2</v>
      </c>
      <c r="F9" s="10" t="s">
        <v>2</v>
      </c>
      <c r="G9" s="10" t="s">
        <v>185</v>
      </c>
      <c r="H9" s="10" t="s">
        <v>188</v>
      </c>
      <c r="I9" s="10" t="s">
        <v>188</v>
      </c>
    </row>
    <row r="10" spans="1:9" ht="66">
      <c r="A10" s="10">
        <v>7</v>
      </c>
      <c r="B10" s="80" t="s">
        <v>266</v>
      </c>
      <c r="C10" s="80" t="s">
        <v>221</v>
      </c>
      <c r="D10" s="10" t="s">
        <v>227</v>
      </c>
      <c r="E10" s="10" t="s">
        <v>2</v>
      </c>
      <c r="F10" s="10" t="s">
        <v>2</v>
      </c>
      <c r="G10" s="10" t="s">
        <v>171</v>
      </c>
      <c r="H10" s="10" t="s">
        <v>260</v>
      </c>
      <c r="I10" s="10" t="s">
        <v>188</v>
      </c>
    </row>
    <row r="11" spans="1:9" ht="52.8">
      <c r="A11" s="125">
        <v>8</v>
      </c>
      <c r="B11" s="80" t="s">
        <v>263</v>
      </c>
      <c r="C11" s="132" t="s">
        <v>221</v>
      </c>
      <c r="D11" s="10" t="s">
        <v>227</v>
      </c>
      <c r="E11" s="125" t="s">
        <v>194</v>
      </c>
      <c r="F11" s="125" t="s">
        <v>194</v>
      </c>
      <c r="G11" s="125" t="s">
        <v>171</v>
      </c>
      <c r="H11" s="125" t="s">
        <v>260</v>
      </c>
      <c r="I11" s="125" t="s">
        <v>188</v>
      </c>
    </row>
    <row r="12" spans="1:9" ht="39.6">
      <c r="A12" s="126"/>
      <c r="B12" s="80" t="s">
        <v>278</v>
      </c>
      <c r="C12" s="133"/>
      <c r="D12" s="10" t="s">
        <v>232</v>
      </c>
      <c r="E12" s="126"/>
      <c r="F12" s="126"/>
      <c r="G12" s="126"/>
      <c r="H12" s="126"/>
      <c r="I12" s="126"/>
    </row>
    <row r="13" spans="1:9" ht="81">
      <c r="A13" s="10">
        <v>9</v>
      </c>
      <c r="B13" s="80" t="s">
        <v>285</v>
      </c>
      <c r="C13" s="80" t="s">
        <v>179</v>
      </c>
      <c r="D13" s="10" t="s">
        <v>227</v>
      </c>
      <c r="E13" s="10" t="s">
        <v>265</v>
      </c>
      <c r="F13" s="10" t="s">
        <v>10</v>
      </c>
      <c r="G13" s="10" t="s">
        <v>171</v>
      </c>
      <c r="H13" s="10" t="s">
        <v>260</v>
      </c>
      <c r="I13" s="10" t="s">
        <v>188</v>
      </c>
    </row>
    <row r="14" spans="1:9" ht="79.2">
      <c r="A14" s="10">
        <v>10</v>
      </c>
      <c r="B14" s="80" t="s">
        <v>277</v>
      </c>
      <c r="C14" s="80" t="s">
        <v>257</v>
      </c>
      <c r="D14" s="10" t="s">
        <v>227</v>
      </c>
      <c r="E14" s="117" t="s">
        <v>279</v>
      </c>
      <c r="F14" s="10" t="s">
        <v>267</v>
      </c>
      <c r="G14" s="10" t="s">
        <v>171</v>
      </c>
      <c r="H14" s="10" t="s">
        <v>258</v>
      </c>
      <c r="I14" s="10"/>
    </row>
    <row r="15" spans="1:9" ht="39.6">
      <c r="A15" s="10">
        <v>11</v>
      </c>
      <c r="B15" s="1" t="s">
        <v>235</v>
      </c>
      <c r="C15" s="1" t="s">
        <v>170</v>
      </c>
      <c r="D15" s="10" t="s">
        <v>236</v>
      </c>
      <c r="E15" s="10" t="s">
        <v>10</v>
      </c>
      <c r="F15" s="10" t="s">
        <v>10</v>
      </c>
      <c r="G15" s="10" t="s">
        <v>191</v>
      </c>
      <c r="H15" s="10" t="s">
        <v>236</v>
      </c>
      <c r="I15" s="1" t="s">
        <v>193</v>
      </c>
    </row>
    <row r="16" spans="1:9" ht="9" customHeight="1">
      <c r="A16" s="88"/>
      <c r="B16" s="86"/>
      <c r="C16" s="86"/>
      <c r="D16" s="86"/>
      <c r="E16" s="87"/>
      <c r="F16" s="88"/>
      <c r="G16" s="88"/>
      <c r="H16" s="88"/>
      <c r="I16" s="89"/>
    </row>
    <row r="17" spans="1:9" ht="48" customHeight="1">
      <c r="A17" s="131" t="s">
        <v>268</v>
      </c>
      <c r="B17" s="131"/>
      <c r="C17" s="131"/>
      <c r="D17" s="131"/>
      <c r="E17" s="131"/>
      <c r="F17" s="131"/>
      <c r="G17" s="131"/>
      <c r="H17" s="131"/>
      <c r="I17" s="131"/>
    </row>
    <row r="19" spans="1:9" ht="15" customHeight="1">
      <c r="A19" s="120" t="s">
        <v>222</v>
      </c>
      <c r="B19" s="120"/>
    </row>
    <row r="21" spans="1:9">
      <c r="A21" s="120" t="s">
        <v>254</v>
      </c>
      <c r="B21" s="120"/>
    </row>
    <row r="22" spans="1:9">
      <c r="A22" s="121" t="s">
        <v>281</v>
      </c>
      <c r="B22" s="120"/>
    </row>
    <row r="23" spans="1:9" ht="21" customHeight="1">
      <c r="A23" s="121"/>
      <c r="B23" s="120"/>
    </row>
    <row r="24" spans="1:9">
      <c r="A24" s="99" t="s">
        <v>227</v>
      </c>
      <c r="B24" s="100" t="s">
        <v>245</v>
      </c>
      <c r="C24" s="127" t="s">
        <v>246</v>
      </c>
      <c r="D24" s="128"/>
      <c r="E24" s="129"/>
    </row>
    <row r="25" spans="1:9">
      <c r="A25" s="99" t="s">
        <v>230</v>
      </c>
      <c r="B25" s="100" t="s">
        <v>247</v>
      </c>
      <c r="C25" s="127" t="s">
        <v>248</v>
      </c>
      <c r="D25" s="128"/>
      <c r="E25" s="129"/>
    </row>
    <row r="26" spans="1:9">
      <c r="A26" s="99" t="s">
        <v>249</v>
      </c>
      <c r="B26" s="100" t="s">
        <v>250</v>
      </c>
      <c r="C26" s="127" t="s">
        <v>251</v>
      </c>
      <c r="D26" s="128"/>
      <c r="E26" s="129"/>
    </row>
    <row r="27" spans="1:9">
      <c r="A27" s="99" t="s">
        <v>232</v>
      </c>
      <c r="B27" s="100" t="s">
        <v>252</v>
      </c>
      <c r="C27" s="127" t="s">
        <v>253</v>
      </c>
      <c r="D27" s="128"/>
      <c r="E27" s="129"/>
    </row>
  </sheetData>
  <mergeCells count="18">
    <mergeCell ref="A2:I2"/>
    <mergeCell ref="A17:I17"/>
    <mergeCell ref="C11:C12"/>
    <mergeCell ref="A11:A12"/>
    <mergeCell ref="E11:E12"/>
    <mergeCell ref="F11:F12"/>
    <mergeCell ref="G11:G12"/>
    <mergeCell ref="H11:H12"/>
    <mergeCell ref="I11:I12"/>
    <mergeCell ref="C4:C5"/>
    <mergeCell ref="D4:D5"/>
    <mergeCell ref="E4:E5"/>
    <mergeCell ref="F4:F5"/>
    <mergeCell ref="G4:G5"/>
    <mergeCell ref="C27:E27"/>
    <mergeCell ref="C24:E24"/>
    <mergeCell ref="C25:E25"/>
    <mergeCell ref="C26:E2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zoomScale="70" zoomScaleNormal="70" workbookViewId="0">
      <selection activeCell="C24" sqref="C24:C25"/>
    </sheetView>
  </sheetViews>
  <sheetFormatPr defaultColWidth="9.109375" defaultRowHeight="13.2"/>
  <cols>
    <col min="1" max="1" width="5.109375" style="97" customWidth="1"/>
    <col min="2" max="2" width="57" style="97" customWidth="1"/>
    <col min="3" max="4" width="70.88671875" style="97" customWidth="1"/>
    <col min="5" max="5" width="22.5546875" style="103" customWidth="1"/>
    <col min="6" max="6" width="22.33203125" style="103" customWidth="1"/>
    <col min="7" max="7" width="20" style="103" customWidth="1"/>
    <col min="8" max="8" width="28.5546875" style="103" customWidth="1"/>
    <col min="9" max="9" width="39.109375" style="97" customWidth="1"/>
    <col min="10" max="10" width="27.6640625" style="97" customWidth="1"/>
    <col min="11" max="16384" width="9.109375" style="97"/>
  </cols>
  <sheetData>
    <row r="1" spans="1:9">
      <c r="A1" s="102"/>
      <c r="I1" s="118" t="s">
        <v>284</v>
      </c>
    </row>
    <row r="2" spans="1:9">
      <c r="A2" s="102" t="s">
        <v>180</v>
      </c>
      <c r="I2" s="118"/>
    </row>
    <row r="3" spans="1:9" ht="89.25" customHeight="1">
      <c r="A3" s="104" t="s">
        <v>12</v>
      </c>
      <c r="B3" s="104" t="s">
        <v>0</v>
      </c>
      <c r="C3" s="104" t="s">
        <v>1</v>
      </c>
      <c r="D3" s="104" t="s">
        <v>225</v>
      </c>
      <c r="E3" s="91" t="s">
        <v>215</v>
      </c>
      <c r="F3" s="91" t="s">
        <v>208</v>
      </c>
      <c r="G3" s="91" t="s">
        <v>186</v>
      </c>
      <c r="H3" s="91" t="s">
        <v>204</v>
      </c>
      <c r="I3" s="91" t="s">
        <v>3</v>
      </c>
    </row>
    <row r="4" spans="1:9" ht="134.25" customHeight="1">
      <c r="A4" s="10">
        <v>1</v>
      </c>
      <c r="B4" s="1" t="s">
        <v>283</v>
      </c>
      <c r="C4" s="1" t="s">
        <v>181</v>
      </c>
      <c r="D4" s="10" t="s">
        <v>227</v>
      </c>
      <c r="E4" s="84" t="s">
        <v>243</v>
      </c>
      <c r="F4" s="10" t="s">
        <v>2</v>
      </c>
      <c r="G4" s="10" t="s">
        <v>171</v>
      </c>
      <c r="H4" s="10" t="s">
        <v>260</v>
      </c>
      <c r="I4" s="1" t="s">
        <v>238</v>
      </c>
    </row>
    <row r="5" spans="1:9" ht="92.4">
      <c r="A5" s="10">
        <v>2</v>
      </c>
      <c r="B5" s="105" t="s">
        <v>234</v>
      </c>
      <c r="C5" s="80" t="s">
        <v>9</v>
      </c>
      <c r="D5" s="10" t="s">
        <v>232</v>
      </c>
      <c r="E5" s="10" t="s">
        <v>216</v>
      </c>
      <c r="F5" s="10" t="s">
        <v>211</v>
      </c>
      <c r="G5" s="10" t="s">
        <v>191</v>
      </c>
      <c r="H5" s="10" t="s">
        <v>260</v>
      </c>
      <c r="I5" s="1" t="s">
        <v>213</v>
      </c>
    </row>
    <row r="6" spans="1:9" ht="26.4">
      <c r="A6" s="10">
        <v>3</v>
      </c>
      <c r="B6" s="105" t="s">
        <v>233</v>
      </c>
      <c r="C6" s="1" t="s">
        <v>184</v>
      </c>
      <c r="D6" s="10" t="s">
        <v>227</v>
      </c>
      <c r="E6" s="10" t="s">
        <v>2</v>
      </c>
      <c r="F6" s="10" t="s">
        <v>2</v>
      </c>
      <c r="G6" s="10" t="s">
        <v>189</v>
      </c>
      <c r="H6" s="10" t="s">
        <v>260</v>
      </c>
      <c r="I6" s="10" t="s">
        <v>188</v>
      </c>
    </row>
    <row r="7" spans="1:9" ht="39.6">
      <c r="A7" s="10">
        <v>4</v>
      </c>
      <c r="B7" s="105" t="s">
        <v>231</v>
      </c>
      <c r="C7" s="1" t="s">
        <v>192</v>
      </c>
      <c r="D7" s="10" t="s">
        <v>232</v>
      </c>
      <c r="E7" s="10" t="s">
        <v>212</v>
      </c>
      <c r="F7" s="10" t="s">
        <v>10</v>
      </c>
      <c r="G7" s="10" t="s">
        <v>171</v>
      </c>
      <c r="H7" s="10" t="s">
        <v>260</v>
      </c>
      <c r="I7" s="1" t="s">
        <v>203</v>
      </c>
    </row>
    <row r="8" spans="1:9" ht="52.8">
      <c r="A8" s="10">
        <v>5</v>
      </c>
      <c r="B8" s="1" t="s">
        <v>264</v>
      </c>
      <c r="C8" s="1" t="s">
        <v>173</v>
      </c>
      <c r="D8" s="10" t="s">
        <v>232</v>
      </c>
      <c r="E8" s="10" t="s">
        <v>172</v>
      </c>
      <c r="F8" s="10" t="s">
        <v>195</v>
      </c>
      <c r="G8" s="10" t="s">
        <v>171</v>
      </c>
      <c r="H8" s="10" t="s">
        <v>260</v>
      </c>
      <c r="I8" s="1" t="s">
        <v>203</v>
      </c>
    </row>
    <row r="9" spans="1:9" ht="52.8">
      <c r="A9" s="10">
        <v>6</v>
      </c>
      <c r="B9" s="1" t="s">
        <v>239</v>
      </c>
      <c r="C9" s="1" t="s">
        <v>174</v>
      </c>
      <c r="D9" s="10" t="s">
        <v>232</v>
      </c>
      <c r="E9" s="10" t="s">
        <v>220</v>
      </c>
      <c r="F9" s="10" t="s">
        <v>175</v>
      </c>
      <c r="G9" s="10" t="s">
        <v>171</v>
      </c>
      <c r="H9" s="10" t="s">
        <v>260</v>
      </c>
      <c r="I9" s="1" t="s">
        <v>203</v>
      </c>
    </row>
    <row r="10" spans="1:9" ht="39.6">
      <c r="A10" s="10">
        <v>7</v>
      </c>
      <c r="B10" s="1" t="s">
        <v>223</v>
      </c>
      <c r="C10" s="1" t="s">
        <v>177</v>
      </c>
      <c r="D10" s="10" t="s">
        <v>227</v>
      </c>
      <c r="E10" s="10" t="s">
        <v>2</v>
      </c>
      <c r="F10" s="10" t="s">
        <v>2</v>
      </c>
      <c r="G10" s="10" t="s">
        <v>171</v>
      </c>
      <c r="H10" s="10" t="s">
        <v>258</v>
      </c>
      <c r="I10" s="1"/>
    </row>
    <row r="11" spans="1:9" ht="145.19999999999999">
      <c r="A11" s="10">
        <v>8</v>
      </c>
      <c r="B11" s="1" t="s">
        <v>269</v>
      </c>
      <c r="C11" s="1" t="s">
        <v>174</v>
      </c>
      <c r="D11" s="10" t="s">
        <v>232</v>
      </c>
      <c r="E11" s="10" t="s">
        <v>2</v>
      </c>
      <c r="F11" s="10" t="s">
        <v>217</v>
      </c>
      <c r="G11" s="10" t="s">
        <v>171</v>
      </c>
      <c r="H11" s="10" t="s">
        <v>260</v>
      </c>
      <c r="I11" s="1" t="s">
        <v>200</v>
      </c>
    </row>
    <row r="12" spans="1:9" ht="79.2">
      <c r="A12" s="10">
        <v>9</v>
      </c>
      <c r="B12" s="80" t="s">
        <v>277</v>
      </c>
      <c r="C12" s="80" t="s">
        <v>257</v>
      </c>
      <c r="D12" s="10" t="s">
        <v>227</v>
      </c>
      <c r="E12" s="117" t="s">
        <v>279</v>
      </c>
      <c r="F12" s="10" t="s">
        <v>267</v>
      </c>
      <c r="G12" s="10" t="s">
        <v>171</v>
      </c>
      <c r="H12" s="10" t="s">
        <v>259</v>
      </c>
      <c r="I12" s="1"/>
    </row>
    <row r="13" spans="1:9" ht="52.8">
      <c r="A13" s="10">
        <v>10</v>
      </c>
      <c r="B13" s="1" t="s">
        <v>206</v>
      </c>
      <c r="C13" s="1" t="s">
        <v>170</v>
      </c>
      <c r="D13" s="10" t="s">
        <v>236</v>
      </c>
      <c r="E13" s="10" t="s">
        <v>10</v>
      </c>
      <c r="F13" s="10" t="s">
        <v>10</v>
      </c>
      <c r="G13" s="10" t="s">
        <v>191</v>
      </c>
      <c r="H13" s="10" t="s">
        <v>205</v>
      </c>
      <c r="I13" s="1" t="s">
        <v>193</v>
      </c>
    </row>
    <row r="14" spans="1:9" ht="13.5" customHeight="1">
      <c r="A14" s="88"/>
      <c r="B14" s="89"/>
      <c r="C14" s="89"/>
      <c r="D14" s="89"/>
      <c r="E14" s="88"/>
      <c r="F14" s="88"/>
      <c r="G14" s="88"/>
      <c r="H14" s="89"/>
      <c r="I14" s="89"/>
    </row>
    <row r="15" spans="1:9" ht="46.5" customHeight="1">
      <c r="A15" s="134" t="s">
        <v>268</v>
      </c>
      <c r="B15" s="134"/>
      <c r="C15" s="134"/>
      <c r="D15" s="134"/>
      <c r="E15" s="134"/>
      <c r="F15" s="134"/>
      <c r="G15" s="134"/>
      <c r="H15" s="134"/>
      <c r="I15" s="134"/>
    </row>
    <row r="17" spans="2:2">
      <c r="B17" s="97" t="s">
        <v>222</v>
      </c>
    </row>
  </sheetData>
  <mergeCells count="1">
    <mergeCell ref="A15:I1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topLeftCell="A19" zoomScale="70" zoomScaleNormal="70" workbookViewId="0">
      <selection activeCell="B6" sqref="B6"/>
    </sheetView>
  </sheetViews>
  <sheetFormatPr defaultColWidth="9.109375" defaultRowHeight="13.2"/>
  <cols>
    <col min="1" max="1" width="11.109375" style="107" customWidth="1"/>
    <col min="2" max="2" width="57.5546875" style="107" customWidth="1"/>
    <col min="3" max="3" width="55.33203125" style="107" customWidth="1"/>
    <col min="4" max="4" width="18.6640625" style="107" customWidth="1"/>
    <col min="5" max="6" width="23.109375" style="108" customWidth="1"/>
    <col min="7" max="8" width="20" style="92" customWidth="1"/>
    <col min="9" max="9" width="33.88671875" style="97" customWidth="1"/>
    <col min="10" max="10" width="42.88671875" style="109" customWidth="1"/>
    <col min="11" max="16384" width="9.109375" style="97"/>
  </cols>
  <sheetData>
    <row r="1" spans="1:10">
      <c r="I1" s="118" t="s">
        <v>284</v>
      </c>
    </row>
    <row r="2" spans="1:10">
      <c r="A2" s="106" t="s">
        <v>5</v>
      </c>
    </row>
    <row r="3" spans="1:10" ht="79.2">
      <c r="A3" s="94" t="s">
        <v>12</v>
      </c>
      <c r="B3" s="91" t="s">
        <v>0</v>
      </c>
      <c r="C3" s="91" t="s">
        <v>1</v>
      </c>
      <c r="D3" s="95" t="s">
        <v>225</v>
      </c>
      <c r="E3" s="94" t="s">
        <v>110</v>
      </c>
      <c r="F3" s="94" t="s">
        <v>111</v>
      </c>
      <c r="G3" s="94" t="s">
        <v>186</v>
      </c>
      <c r="H3" s="96" t="s">
        <v>204</v>
      </c>
      <c r="I3" s="91" t="s">
        <v>3</v>
      </c>
    </row>
    <row r="4" spans="1:10" ht="79.2">
      <c r="A4" s="10">
        <v>1</v>
      </c>
      <c r="B4" s="1" t="s">
        <v>282</v>
      </c>
      <c r="C4" s="1" t="s">
        <v>190</v>
      </c>
      <c r="D4" s="90" t="s">
        <v>227</v>
      </c>
      <c r="E4" s="84" t="s">
        <v>240</v>
      </c>
      <c r="F4" s="10" t="s">
        <v>2</v>
      </c>
      <c r="G4" s="90" t="s">
        <v>171</v>
      </c>
      <c r="H4" s="85" t="s">
        <v>260</v>
      </c>
      <c r="I4" s="82" t="s">
        <v>188</v>
      </c>
      <c r="J4" s="110"/>
    </row>
    <row r="5" spans="1:10" ht="105.6">
      <c r="A5" s="10">
        <v>2</v>
      </c>
      <c r="B5" s="83" t="s">
        <v>270</v>
      </c>
      <c r="C5" s="1" t="s">
        <v>176</v>
      </c>
      <c r="D5" s="90" t="s">
        <v>227</v>
      </c>
      <c r="E5" s="84" t="s">
        <v>240</v>
      </c>
      <c r="F5" s="10" t="s">
        <v>2</v>
      </c>
      <c r="G5" s="10" t="s">
        <v>171</v>
      </c>
      <c r="H5" s="85" t="s">
        <v>260</v>
      </c>
      <c r="I5" s="82" t="s">
        <v>188</v>
      </c>
    </row>
    <row r="6" spans="1:10" ht="52.8">
      <c r="A6" s="10">
        <v>3</v>
      </c>
      <c r="B6" s="1" t="s">
        <v>241</v>
      </c>
      <c r="C6" s="1" t="s">
        <v>178</v>
      </c>
      <c r="D6" s="90" t="s">
        <v>232</v>
      </c>
      <c r="E6" s="9" t="s">
        <v>242</v>
      </c>
      <c r="F6" s="9" t="s">
        <v>10</v>
      </c>
      <c r="G6" s="90" t="s">
        <v>171</v>
      </c>
      <c r="H6" s="85" t="s">
        <v>260</v>
      </c>
      <c r="I6" s="82" t="s">
        <v>188</v>
      </c>
    </row>
    <row r="7" spans="1:10" ht="105.6">
      <c r="A7" s="10">
        <v>4</v>
      </c>
      <c r="B7" s="1" t="s">
        <v>271</v>
      </c>
      <c r="C7" s="1" t="s">
        <v>182</v>
      </c>
      <c r="D7" s="90" t="s">
        <v>232</v>
      </c>
      <c r="E7" s="10" t="s">
        <v>2</v>
      </c>
      <c r="F7" s="10" t="s">
        <v>2</v>
      </c>
      <c r="G7" s="10" t="s">
        <v>191</v>
      </c>
      <c r="H7" s="85" t="s">
        <v>260</v>
      </c>
      <c r="I7" s="81" t="s">
        <v>213</v>
      </c>
    </row>
    <row r="8" spans="1:10" ht="79.2">
      <c r="A8" s="10">
        <v>5</v>
      </c>
      <c r="B8" s="80" t="s">
        <v>277</v>
      </c>
      <c r="C8" s="80" t="s">
        <v>257</v>
      </c>
      <c r="D8" s="10" t="s">
        <v>227</v>
      </c>
      <c r="E8" s="10" t="s">
        <v>279</v>
      </c>
      <c r="F8" s="10" t="s">
        <v>267</v>
      </c>
      <c r="G8" s="10" t="s">
        <v>171</v>
      </c>
      <c r="H8" s="10" t="s">
        <v>259</v>
      </c>
      <c r="I8" s="1"/>
    </row>
    <row r="9" spans="1:10" ht="52.8">
      <c r="A9" s="10">
        <v>6</v>
      </c>
      <c r="B9" s="1" t="s">
        <v>206</v>
      </c>
      <c r="C9" s="1" t="s">
        <v>170</v>
      </c>
      <c r="D9" s="10" t="s">
        <v>236</v>
      </c>
      <c r="E9" s="10" t="s">
        <v>10</v>
      </c>
      <c r="F9" s="10" t="s">
        <v>10</v>
      </c>
      <c r="G9" s="10" t="s">
        <v>191</v>
      </c>
      <c r="H9" s="10" t="s">
        <v>236</v>
      </c>
      <c r="I9" s="1"/>
    </row>
    <row r="11" spans="1:10">
      <c r="B11" s="93" t="s">
        <v>222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
  <sheetViews>
    <sheetView topLeftCell="A22" zoomScale="85" zoomScaleNormal="85" workbookViewId="0">
      <selection activeCell="H16" sqref="H16"/>
    </sheetView>
  </sheetViews>
  <sheetFormatPr defaultColWidth="9.109375" defaultRowHeight="13.2"/>
  <cols>
    <col min="1" max="1" width="9.6640625" style="93" customWidth="1"/>
    <col min="2" max="3" width="57.33203125" style="93" customWidth="1"/>
    <col min="4" max="5" width="22" style="92" customWidth="1"/>
    <col min="6" max="6" width="20" style="92" customWidth="1"/>
    <col min="7" max="7" width="20" style="103" customWidth="1"/>
    <col min="8" max="8" width="22.44140625" style="111" customWidth="1"/>
    <col min="9" max="16384" width="9.109375" style="93"/>
  </cols>
  <sheetData>
    <row r="1" spans="1:7">
      <c r="G1" s="118" t="s">
        <v>284</v>
      </c>
    </row>
    <row r="2" spans="1:7" ht="22.5" customHeight="1">
      <c r="A2" s="101" t="s">
        <v>198</v>
      </c>
    </row>
    <row r="3" spans="1:7" ht="77.25" customHeight="1">
      <c r="A3" s="94" t="s">
        <v>12</v>
      </c>
      <c r="B3" s="94" t="s">
        <v>0</v>
      </c>
      <c r="C3" s="95" t="s">
        <v>225</v>
      </c>
      <c r="D3" s="94" t="s">
        <v>110</v>
      </c>
      <c r="E3" s="94" t="s">
        <v>111</v>
      </c>
      <c r="F3" s="94" t="s">
        <v>186</v>
      </c>
      <c r="G3" s="91" t="s">
        <v>204</v>
      </c>
    </row>
    <row r="4" spans="1:7" ht="79.2">
      <c r="A4" s="90">
        <v>1</v>
      </c>
      <c r="B4" s="80" t="s">
        <v>196</v>
      </c>
      <c r="C4" s="10" t="s">
        <v>228</v>
      </c>
      <c r="D4" s="10" t="s">
        <v>2</v>
      </c>
      <c r="E4" s="10" t="s">
        <v>2</v>
      </c>
      <c r="F4" s="90" t="s">
        <v>171</v>
      </c>
      <c r="G4" s="10" t="s">
        <v>261</v>
      </c>
    </row>
    <row r="5" spans="1:7" ht="52.8">
      <c r="A5" s="90">
        <v>2</v>
      </c>
      <c r="B5" s="80" t="s">
        <v>256</v>
      </c>
      <c r="C5" s="10" t="s">
        <v>227</v>
      </c>
      <c r="D5" s="10" t="s">
        <v>2</v>
      </c>
      <c r="E5" s="10" t="s">
        <v>2</v>
      </c>
      <c r="F5" s="10" t="s">
        <v>189</v>
      </c>
      <c r="G5" s="10" t="s">
        <v>260</v>
      </c>
    </row>
    <row r="6" spans="1:7" ht="24" customHeight="1"/>
    <row r="8" spans="1:7">
      <c r="A8" s="101" t="s">
        <v>197</v>
      </c>
    </row>
    <row r="9" spans="1:7" ht="79.2">
      <c r="A9" s="94" t="s">
        <v>12</v>
      </c>
      <c r="B9" s="94" t="s">
        <v>0</v>
      </c>
      <c r="C9" s="94"/>
      <c r="D9" s="94" t="s">
        <v>110</v>
      </c>
      <c r="E9" s="94" t="s">
        <v>111</v>
      </c>
      <c r="F9" s="94" t="s">
        <v>186</v>
      </c>
      <c r="G9" s="91" t="s">
        <v>204</v>
      </c>
    </row>
    <row r="10" spans="1:7" ht="86.25" customHeight="1">
      <c r="A10" s="90">
        <v>1</v>
      </c>
      <c r="B10" s="80" t="s">
        <v>196</v>
      </c>
      <c r="C10" s="10" t="s">
        <v>228</v>
      </c>
      <c r="D10" s="10" t="s">
        <v>2</v>
      </c>
      <c r="E10" s="10" t="s">
        <v>2</v>
      </c>
      <c r="F10" s="90" t="s">
        <v>171</v>
      </c>
      <c r="G10" s="10" t="s">
        <v>259</v>
      </c>
    </row>
    <row r="11" spans="1:7" ht="95.25" customHeight="1">
      <c r="A11" s="90">
        <v>2</v>
      </c>
      <c r="B11" s="80" t="s">
        <v>199</v>
      </c>
      <c r="C11" s="10" t="s">
        <v>227</v>
      </c>
      <c r="D11" s="10" t="s">
        <v>2</v>
      </c>
      <c r="E11" s="10" t="s">
        <v>2</v>
      </c>
      <c r="F11" s="10" t="s">
        <v>189</v>
      </c>
      <c r="G11" s="10" t="s">
        <v>260</v>
      </c>
    </row>
    <row r="12" spans="1:7" ht="51.75" customHeight="1">
      <c r="A12" s="90">
        <v>3</v>
      </c>
      <c r="B12" s="80" t="s">
        <v>272</v>
      </c>
      <c r="C12" s="10" t="s">
        <v>227</v>
      </c>
      <c r="D12" s="10" t="s">
        <v>2</v>
      </c>
      <c r="E12" s="10" t="s">
        <v>2</v>
      </c>
      <c r="F12" s="90" t="s">
        <v>171</v>
      </c>
      <c r="G12" s="10" t="s">
        <v>260</v>
      </c>
    </row>
    <row r="13" spans="1:7" ht="268.5" customHeight="1">
      <c r="A13" s="90">
        <v>4</v>
      </c>
      <c r="B13" s="80" t="s">
        <v>273</v>
      </c>
      <c r="C13" s="10" t="s">
        <v>232</v>
      </c>
      <c r="D13" s="84" t="s">
        <v>243</v>
      </c>
      <c r="E13" s="10" t="s">
        <v>2</v>
      </c>
      <c r="F13" s="90" t="s">
        <v>171</v>
      </c>
      <c r="G13" s="10" t="s">
        <v>260</v>
      </c>
    </row>
    <row r="14" spans="1:7" ht="84" customHeight="1">
      <c r="A14" s="90">
        <v>5</v>
      </c>
      <c r="B14" s="80" t="s">
        <v>235</v>
      </c>
      <c r="C14" s="10"/>
      <c r="D14" s="10" t="s">
        <v>10</v>
      </c>
      <c r="E14" s="10" t="s">
        <v>10</v>
      </c>
      <c r="F14" s="10" t="s">
        <v>191</v>
      </c>
      <c r="G14" s="85" t="s">
        <v>236</v>
      </c>
    </row>
    <row r="15" spans="1:7" ht="39.75" customHeight="1"/>
    <row r="16" spans="1:7" ht="36" customHeight="1">
      <c r="A16" s="135" t="s">
        <v>274</v>
      </c>
      <c r="B16" s="135"/>
      <c r="C16" s="135"/>
      <c r="D16" s="135"/>
      <c r="E16" s="135"/>
      <c r="F16" s="135"/>
      <c r="G16" s="135"/>
    </row>
    <row r="18" spans="1:7" ht="15.75" customHeight="1">
      <c r="A18" s="136" t="s">
        <v>214</v>
      </c>
      <c r="B18" s="136"/>
      <c r="C18" s="136"/>
      <c r="D18" s="136"/>
      <c r="E18" s="136"/>
      <c r="F18" s="136"/>
      <c r="G18" s="136"/>
    </row>
    <row r="19" spans="1:7" ht="33.75" customHeight="1">
      <c r="A19" s="137"/>
      <c r="B19" s="137"/>
      <c r="C19" s="137"/>
      <c r="D19" s="137"/>
      <c r="E19" s="137"/>
      <c r="F19" s="137"/>
      <c r="G19" s="137"/>
    </row>
    <row r="20" spans="1:7" ht="79.2">
      <c r="A20" s="94" t="s">
        <v>12</v>
      </c>
      <c r="B20" s="94" t="s">
        <v>0</v>
      </c>
      <c r="C20" s="94"/>
      <c r="D20" s="94" t="s">
        <v>110</v>
      </c>
      <c r="E20" s="94" t="s">
        <v>111</v>
      </c>
      <c r="F20" s="94" t="s">
        <v>186</v>
      </c>
      <c r="G20" s="91" t="s">
        <v>204</v>
      </c>
    </row>
    <row r="21" spans="1:7" ht="105.6">
      <c r="A21" s="112">
        <v>1</v>
      </c>
      <c r="B21" s="113" t="s">
        <v>275</v>
      </c>
      <c r="C21" s="10" t="s">
        <v>232</v>
      </c>
      <c r="D21" s="90" t="s">
        <v>2</v>
      </c>
      <c r="E21" s="90" t="s">
        <v>2</v>
      </c>
      <c r="F21" s="90" t="s">
        <v>171</v>
      </c>
      <c r="G21" s="10" t="s">
        <v>260</v>
      </c>
    </row>
    <row r="22" spans="1:7" ht="26.4">
      <c r="A22" s="112">
        <v>2</v>
      </c>
      <c r="B22" s="114" t="s">
        <v>244</v>
      </c>
      <c r="C22" s="10" t="s">
        <v>228</v>
      </c>
      <c r="D22" s="90" t="s">
        <v>220</v>
      </c>
      <c r="E22" s="10" t="s">
        <v>10</v>
      </c>
      <c r="F22" s="90" t="s">
        <v>171</v>
      </c>
      <c r="G22" s="10" t="s">
        <v>259</v>
      </c>
    </row>
    <row r="23" spans="1:7" ht="145.19999999999999">
      <c r="A23" s="112">
        <v>3</v>
      </c>
      <c r="B23" s="113" t="s">
        <v>276</v>
      </c>
      <c r="C23" s="10" t="s">
        <v>227</v>
      </c>
      <c r="D23" s="10" t="s">
        <v>242</v>
      </c>
      <c r="E23" s="10" t="s">
        <v>10</v>
      </c>
      <c r="F23" s="90" t="s">
        <v>171</v>
      </c>
      <c r="G23" s="10" t="s">
        <v>260</v>
      </c>
    </row>
    <row r="24" spans="1:7" ht="66">
      <c r="A24" s="112">
        <v>4</v>
      </c>
      <c r="B24" s="115" t="s">
        <v>235</v>
      </c>
      <c r="C24" s="10" t="s">
        <v>188</v>
      </c>
      <c r="D24" s="10" t="s">
        <v>10</v>
      </c>
      <c r="E24" s="10" t="s">
        <v>10</v>
      </c>
      <c r="F24" s="10" t="s">
        <v>191</v>
      </c>
      <c r="G24" s="10" t="s">
        <v>262</v>
      </c>
    </row>
  </sheetData>
  <autoFilter ref="A8:G13" xr:uid="{00000000-0009-0000-0000-000003000000}"/>
  <mergeCells count="2">
    <mergeCell ref="A16:G16"/>
    <mergeCell ref="A18:G1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5"/>
  <sheetViews>
    <sheetView topLeftCell="A19" zoomScale="85" zoomScaleNormal="85" workbookViewId="0">
      <selection activeCell="B5" sqref="B5"/>
    </sheetView>
  </sheetViews>
  <sheetFormatPr defaultRowHeight="14.4"/>
  <cols>
    <col min="2" max="2" width="11.6640625" customWidth="1"/>
    <col min="4" max="4" width="11.109375" customWidth="1"/>
    <col min="8" max="8" width="12.109375" customWidth="1"/>
    <col min="9" max="9" width="16.44140625" customWidth="1"/>
    <col min="10" max="10" width="15" customWidth="1"/>
    <col min="11" max="11" width="12.6640625" customWidth="1"/>
    <col min="12" max="12" width="15.109375" customWidth="1"/>
    <col min="13" max="13" width="13.5546875" customWidth="1"/>
    <col min="14" max="14" width="12.33203125" customWidth="1"/>
    <col min="15" max="16" width="10.6640625" customWidth="1"/>
    <col min="17" max="17" width="14.44140625" customWidth="1"/>
    <col min="18" max="18" width="14.109375" customWidth="1"/>
    <col min="19" max="19" width="12.88671875" customWidth="1"/>
  </cols>
  <sheetData>
    <row r="1" spans="1:19">
      <c r="S1" s="118" t="s">
        <v>284</v>
      </c>
    </row>
    <row r="2" spans="1:19" ht="16.2" thickBot="1">
      <c r="A2" s="2" t="s">
        <v>11</v>
      </c>
    </row>
    <row r="3" spans="1:19" ht="15" thickBot="1">
      <c r="A3" s="11" t="s">
        <v>149</v>
      </c>
      <c r="B3" s="12"/>
      <c r="C3" s="12"/>
      <c r="D3" s="3"/>
      <c r="E3" s="3"/>
      <c r="F3" s="3"/>
      <c r="G3" s="3"/>
      <c r="H3" s="3"/>
      <c r="I3" s="3"/>
      <c r="J3" s="30"/>
      <c r="K3" s="30"/>
      <c r="L3" s="30"/>
      <c r="M3" s="4"/>
      <c r="N3" s="4"/>
      <c r="O3" s="4"/>
      <c r="P3" s="4"/>
      <c r="Q3" s="4"/>
      <c r="R3" s="4"/>
      <c r="S3" s="4"/>
    </row>
    <row r="4" spans="1:19" ht="36">
      <c r="A4" s="5" t="s">
        <v>12</v>
      </c>
      <c r="B4" s="5" t="s">
        <v>13</v>
      </c>
      <c r="C4" s="5" t="s">
        <v>14</v>
      </c>
      <c r="D4" s="5" t="s">
        <v>15</v>
      </c>
      <c r="E4" s="5" t="s">
        <v>16</v>
      </c>
      <c r="F4" s="5" t="s">
        <v>17</v>
      </c>
      <c r="G4" s="5" t="s">
        <v>18</v>
      </c>
      <c r="H4" s="5" t="s">
        <v>19</v>
      </c>
      <c r="I4" s="5" t="s">
        <v>20</v>
      </c>
      <c r="J4" s="5" t="s">
        <v>21</v>
      </c>
      <c r="K4" s="5" t="s">
        <v>138</v>
      </c>
      <c r="L4" s="13" t="s">
        <v>157</v>
      </c>
      <c r="M4" s="5" t="s">
        <v>156</v>
      </c>
      <c r="N4" s="5" t="s">
        <v>161</v>
      </c>
      <c r="O4" s="5" t="s">
        <v>22</v>
      </c>
      <c r="P4" s="13" t="s">
        <v>162</v>
      </c>
      <c r="Q4" s="13" t="s">
        <v>166</v>
      </c>
      <c r="R4" s="5" t="s">
        <v>23</v>
      </c>
      <c r="S4" s="5" t="s">
        <v>24</v>
      </c>
    </row>
    <row r="5" spans="1:19">
      <c r="A5" s="31">
        <v>1</v>
      </c>
      <c r="B5" s="31" t="s">
        <v>142</v>
      </c>
      <c r="C5" s="31" t="s">
        <v>153</v>
      </c>
      <c r="D5" s="31" t="s">
        <v>154</v>
      </c>
      <c r="E5" s="31">
        <v>2</v>
      </c>
      <c r="F5" s="33">
        <v>41640</v>
      </c>
      <c r="G5" s="31" t="s">
        <v>155</v>
      </c>
      <c r="H5" s="31">
        <v>60</v>
      </c>
      <c r="I5" s="31">
        <v>400</v>
      </c>
      <c r="J5" s="31">
        <v>20</v>
      </c>
      <c r="K5" s="31">
        <v>3</v>
      </c>
      <c r="L5" s="31">
        <v>0</v>
      </c>
      <c r="M5" s="32">
        <f>I5+J5+K5+L5</f>
        <v>423</v>
      </c>
      <c r="N5" s="32">
        <f>M5*H5</f>
        <v>25380</v>
      </c>
      <c r="O5" s="34">
        <v>0</v>
      </c>
      <c r="P5" s="32">
        <v>0</v>
      </c>
      <c r="Q5" s="35">
        <f>N5+P5</f>
        <v>25380</v>
      </c>
      <c r="R5" s="34">
        <v>0.03</v>
      </c>
      <c r="S5" s="32">
        <v>10</v>
      </c>
    </row>
    <row r="6" spans="1:19">
      <c r="A6" s="31"/>
      <c r="B6" s="31"/>
      <c r="C6" s="31"/>
      <c r="D6" s="31"/>
      <c r="E6" s="31"/>
      <c r="F6" s="33"/>
      <c r="G6" s="31"/>
      <c r="H6" s="31"/>
      <c r="I6" s="31"/>
      <c r="J6" s="31"/>
      <c r="K6" s="31"/>
      <c r="L6" s="31"/>
      <c r="M6" s="32"/>
      <c r="N6" s="32"/>
      <c r="O6" s="34"/>
      <c r="P6" s="32"/>
      <c r="Q6" s="35"/>
      <c r="R6" s="34"/>
      <c r="S6" s="32"/>
    </row>
    <row r="7" spans="1:19">
      <c r="A7" s="31"/>
      <c r="B7" s="31"/>
      <c r="C7" s="31"/>
      <c r="D7" s="31"/>
      <c r="E7" s="31"/>
      <c r="F7" s="33"/>
      <c r="G7" s="31"/>
      <c r="H7" s="31"/>
      <c r="I7" s="31"/>
      <c r="J7" s="31"/>
      <c r="K7" s="31"/>
      <c r="L7" s="31"/>
      <c r="M7" s="32"/>
      <c r="N7" s="32"/>
      <c r="O7" s="34"/>
      <c r="P7" s="32"/>
      <c r="Q7" s="35"/>
      <c r="R7" s="34"/>
      <c r="S7" s="32"/>
    </row>
    <row r="8" spans="1:19">
      <c r="A8" s="31"/>
      <c r="B8" s="31"/>
      <c r="C8" s="31"/>
      <c r="D8" s="31"/>
      <c r="E8" s="31"/>
      <c r="F8" s="33"/>
      <c r="G8" s="31"/>
      <c r="H8" s="31"/>
      <c r="I8" s="31"/>
      <c r="J8" s="31"/>
      <c r="K8" s="31"/>
      <c r="L8" s="31"/>
      <c r="M8" s="32"/>
      <c r="N8" s="32"/>
      <c r="O8" s="34"/>
      <c r="P8" s="32"/>
      <c r="Q8" s="35"/>
      <c r="R8" s="34"/>
      <c r="S8" s="32"/>
    </row>
    <row r="9" spans="1:19" s="41" customFormat="1">
      <c r="A9" s="36"/>
      <c r="B9" s="36" t="s">
        <v>106</v>
      </c>
      <c r="C9" s="36"/>
      <c r="D9" s="36"/>
      <c r="E9" s="36"/>
      <c r="F9" s="37"/>
      <c r="G9" s="36"/>
      <c r="H9" s="36">
        <f>SUM(H5:H8)</f>
        <v>60</v>
      </c>
      <c r="I9" s="36"/>
      <c r="J9" s="36"/>
      <c r="K9" s="36"/>
      <c r="L9" s="36"/>
      <c r="M9" s="38"/>
      <c r="N9" s="42">
        <f>SUM(N5:N8)</f>
        <v>25380</v>
      </c>
      <c r="O9" s="40"/>
      <c r="P9" s="40"/>
      <c r="Q9" s="42">
        <f>SUM(Q5:Q8)</f>
        <v>25380</v>
      </c>
      <c r="R9" s="39"/>
      <c r="S9" s="38"/>
    </row>
    <row r="10" spans="1:19" ht="15" thickBot="1">
      <c r="A10" s="6"/>
      <c r="B10" s="6"/>
      <c r="C10" s="6"/>
      <c r="D10" s="6"/>
      <c r="E10" s="6"/>
      <c r="F10" s="6"/>
      <c r="G10" s="6"/>
      <c r="H10" s="6"/>
      <c r="I10" s="6"/>
      <c r="J10" s="6"/>
      <c r="K10" s="6"/>
      <c r="L10" s="6"/>
      <c r="M10" s="8"/>
      <c r="N10" s="8"/>
      <c r="O10" s="8"/>
      <c r="P10" s="8"/>
      <c r="Q10" s="8"/>
      <c r="R10" s="8"/>
      <c r="S10" s="8"/>
    </row>
    <row r="11" spans="1:19" ht="15" thickBot="1">
      <c r="A11" s="11" t="s">
        <v>150</v>
      </c>
      <c r="B11" s="12"/>
      <c r="C11" s="12"/>
      <c r="D11" s="12"/>
      <c r="E11" s="12"/>
      <c r="F11" s="12"/>
      <c r="G11" s="3"/>
      <c r="H11" s="3"/>
      <c r="I11" s="3"/>
      <c r="J11" s="3"/>
      <c r="K11" s="3"/>
      <c r="L11" s="3"/>
      <c r="M11" s="4"/>
      <c r="N11" s="4"/>
      <c r="O11" s="4"/>
      <c r="P11" s="4"/>
      <c r="Q11" s="4"/>
      <c r="R11" s="4"/>
      <c r="S11" s="4"/>
    </row>
    <row r="12" spans="1:19" ht="48" customHeight="1">
      <c r="A12" s="5" t="s">
        <v>12</v>
      </c>
      <c r="B12" s="5" t="s">
        <v>13</v>
      </c>
      <c r="C12" s="5" t="s">
        <v>14</v>
      </c>
      <c r="D12" s="5" t="s">
        <v>15</v>
      </c>
      <c r="E12" s="5" t="s">
        <v>16</v>
      </c>
      <c r="F12" s="5" t="s">
        <v>17</v>
      </c>
      <c r="G12" s="5" t="s">
        <v>18</v>
      </c>
      <c r="H12" s="5" t="s">
        <v>19</v>
      </c>
      <c r="I12" s="5" t="s">
        <v>25</v>
      </c>
      <c r="J12" s="5" t="s">
        <v>26</v>
      </c>
      <c r="K12" s="5" t="s">
        <v>139</v>
      </c>
      <c r="L12" s="13" t="s">
        <v>158</v>
      </c>
      <c r="M12" s="5" t="s">
        <v>27</v>
      </c>
      <c r="N12" s="5" t="s">
        <v>28</v>
      </c>
      <c r="O12" s="5" t="s">
        <v>22</v>
      </c>
      <c r="P12" s="13" t="s">
        <v>163</v>
      </c>
      <c r="Q12" s="13" t="s">
        <v>167</v>
      </c>
      <c r="R12" s="5" t="s">
        <v>23</v>
      </c>
      <c r="S12" s="5" t="s">
        <v>24</v>
      </c>
    </row>
    <row r="13" spans="1:19">
      <c r="A13" s="31">
        <v>1</v>
      </c>
      <c r="B13" s="31" t="s">
        <v>142</v>
      </c>
      <c r="C13" s="31" t="s">
        <v>153</v>
      </c>
      <c r="D13" s="31" t="s">
        <v>154</v>
      </c>
      <c r="E13" s="31">
        <v>2</v>
      </c>
      <c r="F13" s="33">
        <v>41640</v>
      </c>
      <c r="G13" s="31" t="s">
        <v>155</v>
      </c>
      <c r="H13" s="31">
        <v>60</v>
      </c>
      <c r="I13" s="31">
        <v>400</v>
      </c>
      <c r="J13" s="31">
        <v>20</v>
      </c>
      <c r="K13" s="31">
        <v>3</v>
      </c>
      <c r="L13" s="31">
        <v>0</v>
      </c>
      <c r="M13" s="32">
        <f>I13+J13+K13+L13</f>
        <v>423</v>
      </c>
      <c r="N13" s="32">
        <f>M13*H13</f>
        <v>25380</v>
      </c>
      <c r="O13" s="34">
        <v>0</v>
      </c>
      <c r="P13" s="32">
        <v>0</v>
      </c>
      <c r="Q13" s="35">
        <f>N13+P13</f>
        <v>25380</v>
      </c>
      <c r="R13" s="34">
        <v>0.03</v>
      </c>
      <c r="S13" s="32">
        <v>10</v>
      </c>
    </row>
    <row r="14" spans="1:19">
      <c r="A14" s="31"/>
      <c r="B14" s="31"/>
      <c r="C14" s="31"/>
      <c r="D14" s="31"/>
      <c r="E14" s="31"/>
      <c r="F14" s="33"/>
      <c r="G14" s="31"/>
      <c r="H14" s="31"/>
      <c r="I14" s="31"/>
      <c r="J14" s="31"/>
      <c r="K14" s="31"/>
      <c r="L14" s="31"/>
      <c r="M14" s="32"/>
      <c r="N14" s="32"/>
      <c r="O14" s="34"/>
      <c r="P14" s="32"/>
      <c r="Q14" s="35"/>
      <c r="R14" s="34"/>
      <c r="S14" s="32"/>
    </row>
    <row r="15" spans="1:19">
      <c r="A15" s="31"/>
      <c r="B15" s="31"/>
      <c r="C15" s="31"/>
      <c r="D15" s="31"/>
      <c r="E15" s="31"/>
      <c r="F15" s="33"/>
      <c r="G15" s="31"/>
      <c r="H15" s="31"/>
      <c r="I15" s="31"/>
      <c r="J15" s="31"/>
      <c r="K15" s="31"/>
      <c r="L15" s="31"/>
      <c r="M15" s="32"/>
      <c r="N15" s="32"/>
      <c r="O15" s="34"/>
      <c r="P15" s="32"/>
      <c r="Q15" s="35"/>
      <c r="R15" s="34"/>
      <c r="S15" s="32"/>
    </row>
    <row r="16" spans="1:19">
      <c r="A16" s="31"/>
      <c r="B16" s="31"/>
      <c r="C16" s="31"/>
      <c r="D16" s="31"/>
      <c r="E16" s="31"/>
      <c r="F16" s="33"/>
      <c r="G16" s="31"/>
      <c r="H16" s="31"/>
      <c r="I16" s="31"/>
      <c r="J16" s="31"/>
      <c r="K16" s="31"/>
      <c r="L16" s="31"/>
      <c r="M16" s="32"/>
      <c r="N16" s="32"/>
      <c r="O16" s="34"/>
      <c r="P16" s="32"/>
      <c r="Q16" s="35"/>
      <c r="R16" s="34"/>
      <c r="S16" s="32"/>
    </row>
    <row r="17" spans="1:19" s="41" customFormat="1">
      <c r="A17" s="36"/>
      <c r="B17" s="36" t="s">
        <v>106</v>
      </c>
      <c r="C17" s="36"/>
      <c r="D17" s="36"/>
      <c r="E17" s="36"/>
      <c r="F17" s="37"/>
      <c r="G17" s="36"/>
      <c r="H17" s="36">
        <f>SUM(H13:H16)</f>
        <v>60</v>
      </c>
      <c r="I17" s="36"/>
      <c r="J17" s="36"/>
      <c r="K17" s="36"/>
      <c r="L17" s="36"/>
      <c r="M17" s="38"/>
      <c r="N17" s="42">
        <f>SUM(N13:N16)</f>
        <v>25380</v>
      </c>
      <c r="O17" s="40"/>
      <c r="P17" s="40"/>
      <c r="Q17" s="42">
        <f>SUM(Q13:Q16)</f>
        <v>25380</v>
      </c>
      <c r="R17" s="39"/>
      <c r="S17" s="38"/>
    </row>
    <row r="18" spans="1:19">
      <c r="A18" s="6"/>
      <c r="B18" s="6"/>
      <c r="C18" s="6"/>
      <c r="D18" s="6"/>
      <c r="E18" s="6"/>
      <c r="F18" s="6"/>
      <c r="G18" s="6"/>
      <c r="H18" s="6"/>
      <c r="I18" s="6"/>
      <c r="J18" s="6"/>
      <c r="K18" s="6"/>
      <c r="L18" s="6"/>
      <c r="M18" s="7"/>
      <c r="N18" s="7"/>
      <c r="O18" s="7"/>
      <c r="P18" s="7"/>
      <c r="Q18" s="7"/>
      <c r="R18" s="7"/>
      <c r="S18" s="7"/>
    </row>
    <row r="19" spans="1:19" ht="15" thickBot="1">
      <c r="A19" s="6"/>
      <c r="B19" s="6"/>
      <c r="C19" s="6"/>
      <c r="D19" s="6"/>
      <c r="E19" s="6"/>
      <c r="F19" s="6"/>
      <c r="G19" s="6"/>
      <c r="H19" s="6"/>
      <c r="I19" s="6"/>
      <c r="J19" s="6"/>
      <c r="K19" s="6"/>
      <c r="L19" s="6"/>
      <c r="M19" s="7"/>
      <c r="N19" s="7"/>
      <c r="O19" s="7"/>
      <c r="P19" s="7"/>
      <c r="Q19" s="7"/>
      <c r="R19" s="7"/>
      <c r="S19" s="7"/>
    </row>
    <row r="20" spans="1:19" ht="15" thickBot="1">
      <c r="A20" s="11" t="s">
        <v>151</v>
      </c>
      <c r="B20" s="12"/>
      <c r="C20" s="12"/>
      <c r="D20" s="3"/>
      <c r="E20" s="3"/>
      <c r="F20" s="3"/>
      <c r="G20" s="3"/>
      <c r="H20" s="3"/>
      <c r="I20" s="3"/>
      <c r="J20" s="3"/>
      <c r="K20" s="3"/>
      <c r="L20" s="3"/>
      <c r="M20" s="4"/>
      <c r="N20" s="4"/>
      <c r="O20" s="4"/>
      <c r="P20" s="4"/>
      <c r="Q20" s="4"/>
      <c r="R20" s="4"/>
      <c r="S20" s="4"/>
    </row>
    <row r="21" spans="1:19" ht="48" customHeight="1">
      <c r="A21" s="5" t="s">
        <v>12</v>
      </c>
      <c r="B21" s="5" t="s">
        <v>13</v>
      </c>
      <c r="C21" s="5" t="s">
        <v>14</v>
      </c>
      <c r="D21" s="5" t="s">
        <v>15</v>
      </c>
      <c r="E21" s="5" t="s">
        <v>16</v>
      </c>
      <c r="F21" s="5" t="s">
        <v>17</v>
      </c>
      <c r="G21" s="5" t="s">
        <v>18</v>
      </c>
      <c r="H21" s="5" t="s">
        <v>19</v>
      </c>
      <c r="I21" s="5" t="s">
        <v>29</v>
      </c>
      <c r="J21" s="5" t="s">
        <v>30</v>
      </c>
      <c r="K21" s="5" t="s">
        <v>140</v>
      </c>
      <c r="L21" s="13" t="s">
        <v>159</v>
      </c>
      <c r="M21" s="5" t="s">
        <v>31</v>
      </c>
      <c r="N21" s="5" t="s">
        <v>32</v>
      </c>
      <c r="O21" s="5" t="s">
        <v>22</v>
      </c>
      <c r="P21" s="13" t="s">
        <v>164</v>
      </c>
      <c r="Q21" s="13" t="s">
        <v>168</v>
      </c>
      <c r="R21" s="5" t="s">
        <v>23</v>
      </c>
      <c r="S21" s="5" t="s">
        <v>24</v>
      </c>
    </row>
    <row r="22" spans="1:19">
      <c r="A22" s="31">
        <v>1</v>
      </c>
      <c r="B22" s="31" t="s">
        <v>142</v>
      </c>
      <c r="C22" s="31" t="s">
        <v>153</v>
      </c>
      <c r="D22" s="31" t="s">
        <v>154</v>
      </c>
      <c r="E22" s="31">
        <v>2</v>
      </c>
      <c r="F22" s="33">
        <v>41640</v>
      </c>
      <c r="G22" s="31" t="s">
        <v>155</v>
      </c>
      <c r="H22" s="31">
        <v>60</v>
      </c>
      <c r="I22" s="31">
        <v>400</v>
      </c>
      <c r="J22" s="31">
        <v>20</v>
      </c>
      <c r="K22" s="31">
        <v>3</v>
      </c>
      <c r="L22" s="31">
        <v>0</v>
      </c>
      <c r="M22" s="32">
        <f>I22+J22+K22+L22</f>
        <v>423</v>
      </c>
      <c r="N22" s="32">
        <f>M22*H22</f>
        <v>25380</v>
      </c>
      <c r="O22" s="34">
        <v>0</v>
      </c>
      <c r="P22" s="32">
        <v>0</v>
      </c>
      <c r="Q22" s="35">
        <f>N22+P22</f>
        <v>25380</v>
      </c>
      <c r="R22" s="34">
        <v>0.03</v>
      </c>
      <c r="S22" s="32">
        <v>10</v>
      </c>
    </row>
    <row r="23" spans="1:19">
      <c r="A23" s="31"/>
      <c r="B23" s="31"/>
      <c r="C23" s="31"/>
      <c r="D23" s="31"/>
      <c r="E23" s="31"/>
      <c r="F23" s="33"/>
      <c r="G23" s="31"/>
      <c r="H23" s="31"/>
      <c r="I23" s="31"/>
      <c r="J23" s="31"/>
      <c r="K23" s="31"/>
      <c r="L23" s="31"/>
      <c r="M23" s="32"/>
      <c r="N23" s="32"/>
      <c r="O23" s="34"/>
      <c r="P23" s="32"/>
      <c r="Q23" s="35"/>
      <c r="R23" s="34"/>
      <c r="S23" s="32"/>
    </row>
    <row r="24" spans="1:19">
      <c r="A24" s="31"/>
      <c r="B24" s="31"/>
      <c r="C24" s="31"/>
      <c r="D24" s="31"/>
      <c r="E24" s="31"/>
      <c r="F24" s="33"/>
      <c r="G24" s="31"/>
      <c r="H24" s="31"/>
      <c r="I24" s="31"/>
      <c r="J24" s="31"/>
      <c r="K24" s="31"/>
      <c r="L24" s="31"/>
      <c r="M24" s="32"/>
      <c r="N24" s="32"/>
      <c r="O24" s="34"/>
      <c r="P24" s="32"/>
      <c r="Q24" s="35"/>
      <c r="R24" s="34"/>
      <c r="S24" s="32"/>
    </row>
    <row r="25" spans="1:19">
      <c r="A25" s="31"/>
      <c r="B25" s="31"/>
      <c r="C25" s="31"/>
      <c r="D25" s="31"/>
      <c r="E25" s="31"/>
      <c r="F25" s="33"/>
      <c r="G25" s="31"/>
      <c r="H25" s="31"/>
      <c r="I25" s="31"/>
      <c r="J25" s="31"/>
      <c r="K25" s="31"/>
      <c r="L25" s="31"/>
      <c r="M25" s="32"/>
      <c r="N25" s="32"/>
      <c r="O25" s="34"/>
      <c r="P25" s="32"/>
      <c r="Q25" s="35"/>
      <c r="R25" s="34"/>
      <c r="S25" s="32"/>
    </row>
    <row r="26" spans="1:19" s="41" customFormat="1">
      <c r="A26" s="36"/>
      <c r="B26" s="36" t="s">
        <v>106</v>
      </c>
      <c r="C26" s="36"/>
      <c r="D26" s="36"/>
      <c r="E26" s="36"/>
      <c r="F26" s="37"/>
      <c r="G26" s="36"/>
      <c r="H26" s="36">
        <f>SUM(H22:H25)</f>
        <v>60</v>
      </c>
      <c r="I26" s="36"/>
      <c r="J26" s="36"/>
      <c r="K26" s="36"/>
      <c r="L26" s="36"/>
      <c r="M26" s="38"/>
      <c r="N26" s="42">
        <f>SUM(N22:N25)</f>
        <v>25380</v>
      </c>
      <c r="O26" s="40"/>
      <c r="P26" s="40"/>
      <c r="Q26" s="42">
        <f>SUM(Q22:Q25)</f>
        <v>25380</v>
      </c>
      <c r="R26" s="39"/>
      <c r="S26" s="38"/>
    </row>
    <row r="27" spans="1:19">
      <c r="A27" s="6"/>
      <c r="B27" s="6"/>
      <c r="C27" s="6"/>
      <c r="D27" s="6"/>
      <c r="E27" s="6"/>
      <c r="F27" s="6"/>
      <c r="G27" s="6"/>
      <c r="H27" s="6"/>
      <c r="I27" s="6"/>
      <c r="J27" s="6"/>
      <c r="K27" s="6"/>
      <c r="L27" s="6"/>
      <c r="M27" s="7"/>
      <c r="N27" s="7"/>
      <c r="O27" s="7"/>
      <c r="P27" s="7"/>
      <c r="Q27" s="7"/>
      <c r="R27" s="7"/>
      <c r="S27" s="7"/>
    </row>
    <row r="28" spans="1:19" ht="15" thickBot="1">
      <c r="A28" s="6"/>
      <c r="B28" s="6"/>
      <c r="C28" s="6"/>
      <c r="D28" s="6"/>
      <c r="E28" s="6"/>
      <c r="F28" s="6"/>
      <c r="G28" s="6"/>
      <c r="H28" s="6"/>
      <c r="I28" s="6"/>
      <c r="J28" s="6"/>
      <c r="K28" s="6"/>
      <c r="L28" s="6"/>
      <c r="M28" s="7"/>
      <c r="N28" s="7"/>
      <c r="O28" s="7"/>
      <c r="P28" s="7"/>
      <c r="Q28" s="7"/>
      <c r="R28" s="7"/>
      <c r="S28" s="7"/>
    </row>
    <row r="29" spans="1:19" ht="15" thickBot="1">
      <c r="A29" s="11" t="s">
        <v>152</v>
      </c>
      <c r="B29" s="12"/>
      <c r="C29" s="12"/>
      <c r="D29" s="3"/>
      <c r="E29" s="3"/>
      <c r="F29" s="3"/>
      <c r="G29" s="3"/>
      <c r="H29" s="3"/>
      <c r="I29" s="3"/>
      <c r="J29" s="3"/>
      <c r="K29" s="3"/>
      <c r="L29" s="3"/>
      <c r="M29" s="4"/>
      <c r="N29" s="4"/>
      <c r="O29" s="4"/>
      <c r="P29" s="4"/>
      <c r="Q29" s="4"/>
      <c r="R29" s="4"/>
      <c r="S29" s="4"/>
    </row>
    <row r="30" spans="1:19" ht="48" customHeight="1">
      <c r="A30" s="5" t="s">
        <v>12</v>
      </c>
      <c r="B30" s="5" t="s">
        <v>13</v>
      </c>
      <c r="C30" s="5" t="s">
        <v>14</v>
      </c>
      <c r="D30" s="5" t="s">
        <v>15</v>
      </c>
      <c r="E30" s="5" t="s">
        <v>16</v>
      </c>
      <c r="F30" s="5" t="s">
        <v>17</v>
      </c>
      <c r="G30" s="5" t="s">
        <v>18</v>
      </c>
      <c r="H30" s="5" t="s">
        <v>19</v>
      </c>
      <c r="I30" s="5" t="s">
        <v>33</v>
      </c>
      <c r="J30" s="5" t="s">
        <v>34</v>
      </c>
      <c r="K30" s="5" t="s">
        <v>141</v>
      </c>
      <c r="L30" s="13" t="s">
        <v>160</v>
      </c>
      <c r="M30" s="5" t="s">
        <v>35</v>
      </c>
      <c r="N30" s="5" t="s">
        <v>36</v>
      </c>
      <c r="O30" s="5" t="s">
        <v>22</v>
      </c>
      <c r="P30" s="13" t="s">
        <v>165</v>
      </c>
      <c r="Q30" s="13" t="s">
        <v>169</v>
      </c>
      <c r="R30" s="5" t="s">
        <v>23</v>
      </c>
      <c r="S30" s="5" t="s">
        <v>24</v>
      </c>
    </row>
    <row r="31" spans="1:19">
      <c r="A31" s="31">
        <v>1</v>
      </c>
      <c r="B31" s="31" t="s">
        <v>142</v>
      </c>
      <c r="C31" s="31" t="s">
        <v>153</v>
      </c>
      <c r="D31" s="31" t="s">
        <v>154</v>
      </c>
      <c r="E31" s="31">
        <v>2</v>
      </c>
      <c r="F31" s="33">
        <v>41640</v>
      </c>
      <c r="G31" s="31" t="s">
        <v>155</v>
      </c>
      <c r="H31" s="31">
        <v>60</v>
      </c>
      <c r="I31" s="31">
        <v>400</v>
      </c>
      <c r="J31" s="31">
        <v>20</v>
      </c>
      <c r="K31" s="31">
        <v>3</v>
      </c>
      <c r="L31" s="31">
        <v>0</v>
      </c>
      <c r="M31" s="32">
        <f>I31+J31+K31+L31</f>
        <v>423</v>
      </c>
      <c r="N31" s="32">
        <f>M31*H31</f>
        <v>25380</v>
      </c>
      <c r="O31" s="34">
        <v>0</v>
      </c>
      <c r="P31" s="32">
        <v>0</v>
      </c>
      <c r="Q31" s="35">
        <f>N31+P31</f>
        <v>25380</v>
      </c>
      <c r="R31" s="34">
        <v>0.03</v>
      </c>
      <c r="S31" s="32">
        <v>10</v>
      </c>
    </row>
    <row r="32" spans="1:19">
      <c r="A32" s="31"/>
      <c r="B32" s="31"/>
      <c r="C32" s="31"/>
      <c r="D32" s="31"/>
      <c r="E32" s="31"/>
      <c r="F32" s="33"/>
      <c r="G32" s="31"/>
      <c r="H32" s="31"/>
      <c r="I32" s="31"/>
      <c r="J32" s="31"/>
      <c r="K32" s="31"/>
      <c r="L32" s="31"/>
      <c r="M32" s="32"/>
      <c r="N32" s="32"/>
      <c r="O32" s="34"/>
      <c r="P32" s="32"/>
      <c r="Q32" s="35"/>
      <c r="R32" s="34"/>
      <c r="S32" s="32"/>
    </row>
    <row r="33" spans="1:19">
      <c r="A33" s="31"/>
      <c r="B33" s="31"/>
      <c r="C33" s="31"/>
      <c r="D33" s="31"/>
      <c r="E33" s="31"/>
      <c r="F33" s="33"/>
      <c r="G33" s="31"/>
      <c r="H33" s="31"/>
      <c r="I33" s="31"/>
      <c r="J33" s="31"/>
      <c r="K33" s="31"/>
      <c r="L33" s="31"/>
      <c r="M33" s="32"/>
      <c r="N33" s="32"/>
      <c r="O33" s="34"/>
      <c r="P33" s="32"/>
      <c r="Q33" s="35"/>
      <c r="R33" s="34"/>
      <c r="S33" s="32"/>
    </row>
    <row r="34" spans="1:19">
      <c r="A34" s="31"/>
      <c r="B34" s="31"/>
      <c r="C34" s="31"/>
      <c r="D34" s="31"/>
      <c r="E34" s="31"/>
      <c r="F34" s="33"/>
      <c r="G34" s="31"/>
      <c r="H34" s="31"/>
      <c r="I34" s="31"/>
      <c r="J34" s="31"/>
      <c r="K34" s="31"/>
      <c r="L34" s="31"/>
      <c r="M34" s="32"/>
      <c r="N34" s="32"/>
      <c r="O34" s="34"/>
      <c r="P34" s="32"/>
      <c r="Q34" s="35"/>
      <c r="R34" s="34"/>
      <c r="S34" s="32"/>
    </row>
    <row r="35" spans="1:19" s="41" customFormat="1">
      <c r="A35" s="36"/>
      <c r="B35" s="36" t="s">
        <v>106</v>
      </c>
      <c r="C35" s="36"/>
      <c r="D35" s="36"/>
      <c r="E35" s="36"/>
      <c r="F35" s="37"/>
      <c r="G35" s="36"/>
      <c r="H35" s="36">
        <f>SUM(H31:H34)</f>
        <v>60</v>
      </c>
      <c r="I35" s="36"/>
      <c r="J35" s="36"/>
      <c r="K35" s="36"/>
      <c r="L35" s="36"/>
      <c r="M35" s="38"/>
      <c r="N35" s="42">
        <f>SUM(N31:N34)</f>
        <v>25380</v>
      </c>
      <c r="O35" s="40"/>
      <c r="P35" s="40"/>
      <c r="Q35" s="42">
        <f>SUM(Q31:Q34)</f>
        <v>25380</v>
      </c>
      <c r="R35" s="39"/>
      <c r="S35" s="3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X46"/>
  <sheetViews>
    <sheetView topLeftCell="A22" zoomScale="80" workbookViewId="0">
      <selection activeCell="O1" sqref="O1"/>
    </sheetView>
  </sheetViews>
  <sheetFormatPr defaultRowHeight="13.2"/>
  <cols>
    <col min="1" max="1" width="3.33203125" style="67" customWidth="1"/>
    <col min="2" max="2" width="41.88671875" style="44" customWidth="1"/>
    <col min="3" max="5" width="13.6640625" style="44" customWidth="1"/>
    <col min="6" max="15" width="13.6640625" style="43" customWidth="1"/>
    <col min="16" max="102" width="9.109375" style="43" customWidth="1"/>
    <col min="103" max="256" width="9.109375" style="44"/>
    <col min="257" max="257" width="3.33203125" style="44" customWidth="1"/>
    <col min="258" max="258" width="41.88671875" style="44" customWidth="1"/>
    <col min="259" max="259" width="19.88671875" style="44" customWidth="1"/>
    <col min="260" max="260" width="20.5546875" style="44" bestFit="1" customWidth="1"/>
    <col min="261" max="261" width="0" style="44" hidden="1" customWidth="1"/>
    <col min="262" max="262" width="30.33203125" style="44" customWidth="1"/>
    <col min="263" max="358" width="9.109375" style="44" customWidth="1"/>
    <col min="359" max="512" width="9.109375" style="44"/>
    <col min="513" max="513" width="3.33203125" style="44" customWidth="1"/>
    <col min="514" max="514" width="41.88671875" style="44" customWidth="1"/>
    <col min="515" max="515" width="19.88671875" style="44" customWidth="1"/>
    <col min="516" max="516" width="20.5546875" style="44" bestFit="1" customWidth="1"/>
    <col min="517" max="517" width="0" style="44" hidden="1" customWidth="1"/>
    <col min="518" max="518" width="30.33203125" style="44" customWidth="1"/>
    <col min="519" max="614" width="9.109375" style="44" customWidth="1"/>
    <col min="615" max="768" width="9.109375" style="44"/>
    <col min="769" max="769" width="3.33203125" style="44" customWidth="1"/>
    <col min="770" max="770" width="41.88671875" style="44" customWidth="1"/>
    <col min="771" max="771" width="19.88671875" style="44" customWidth="1"/>
    <col min="772" max="772" width="20.5546875" style="44" bestFit="1" customWidth="1"/>
    <col min="773" max="773" width="0" style="44" hidden="1" customWidth="1"/>
    <col min="774" max="774" width="30.33203125" style="44" customWidth="1"/>
    <col min="775" max="870" width="9.109375" style="44" customWidth="1"/>
    <col min="871" max="1024" width="9.109375" style="44"/>
    <col min="1025" max="1025" width="3.33203125" style="44" customWidth="1"/>
    <col min="1026" max="1026" width="41.88671875" style="44" customWidth="1"/>
    <col min="1027" max="1027" width="19.88671875" style="44" customWidth="1"/>
    <col min="1028" max="1028" width="20.5546875" style="44" bestFit="1" customWidth="1"/>
    <col min="1029" max="1029" width="0" style="44" hidden="1" customWidth="1"/>
    <col min="1030" max="1030" width="30.33203125" style="44" customWidth="1"/>
    <col min="1031" max="1126" width="9.109375" style="44" customWidth="1"/>
    <col min="1127" max="1280" width="9.109375" style="44"/>
    <col min="1281" max="1281" width="3.33203125" style="44" customWidth="1"/>
    <col min="1282" max="1282" width="41.88671875" style="44" customWidth="1"/>
    <col min="1283" max="1283" width="19.88671875" style="44" customWidth="1"/>
    <col min="1284" max="1284" width="20.5546875" style="44" bestFit="1" customWidth="1"/>
    <col min="1285" max="1285" width="0" style="44" hidden="1" customWidth="1"/>
    <col min="1286" max="1286" width="30.33203125" style="44" customWidth="1"/>
    <col min="1287" max="1382" width="9.109375" style="44" customWidth="1"/>
    <col min="1383" max="1536" width="9.109375" style="44"/>
    <col min="1537" max="1537" width="3.33203125" style="44" customWidth="1"/>
    <col min="1538" max="1538" width="41.88671875" style="44" customWidth="1"/>
    <col min="1539" max="1539" width="19.88671875" style="44" customWidth="1"/>
    <col min="1540" max="1540" width="20.5546875" style="44" bestFit="1" customWidth="1"/>
    <col min="1541" max="1541" width="0" style="44" hidden="1" customWidth="1"/>
    <col min="1542" max="1542" width="30.33203125" style="44" customWidth="1"/>
    <col min="1543" max="1638" width="9.109375" style="44" customWidth="1"/>
    <col min="1639" max="1792" width="9.109375" style="44"/>
    <col min="1793" max="1793" width="3.33203125" style="44" customWidth="1"/>
    <col min="1794" max="1794" width="41.88671875" style="44" customWidth="1"/>
    <col min="1795" max="1795" width="19.88671875" style="44" customWidth="1"/>
    <col min="1796" max="1796" width="20.5546875" style="44" bestFit="1" customWidth="1"/>
    <col min="1797" max="1797" width="0" style="44" hidden="1" customWidth="1"/>
    <col min="1798" max="1798" width="30.33203125" style="44" customWidth="1"/>
    <col min="1799" max="1894" width="9.109375" style="44" customWidth="1"/>
    <col min="1895" max="2048" width="9.109375" style="44"/>
    <col min="2049" max="2049" width="3.33203125" style="44" customWidth="1"/>
    <col min="2050" max="2050" width="41.88671875" style="44" customWidth="1"/>
    <col min="2051" max="2051" width="19.88671875" style="44" customWidth="1"/>
    <col min="2052" max="2052" width="20.5546875" style="44" bestFit="1" customWidth="1"/>
    <col min="2053" max="2053" width="0" style="44" hidden="1" customWidth="1"/>
    <col min="2054" max="2054" width="30.33203125" style="44" customWidth="1"/>
    <col min="2055" max="2150" width="9.109375" style="44" customWidth="1"/>
    <col min="2151" max="2304" width="9.109375" style="44"/>
    <col min="2305" max="2305" width="3.33203125" style="44" customWidth="1"/>
    <col min="2306" max="2306" width="41.88671875" style="44" customWidth="1"/>
    <col min="2307" max="2307" width="19.88671875" style="44" customWidth="1"/>
    <col min="2308" max="2308" width="20.5546875" style="44" bestFit="1" customWidth="1"/>
    <col min="2309" max="2309" width="0" style="44" hidden="1" customWidth="1"/>
    <col min="2310" max="2310" width="30.33203125" style="44" customWidth="1"/>
    <col min="2311" max="2406" width="9.109375" style="44" customWidth="1"/>
    <col min="2407" max="2560" width="9.109375" style="44"/>
    <col min="2561" max="2561" width="3.33203125" style="44" customWidth="1"/>
    <col min="2562" max="2562" width="41.88671875" style="44" customWidth="1"/>
    <col min="2563" max="2563" width="19.88671875" style="44" customWidth="1"/>
    <col min="2564" max="2564" width="20.5546875" style="44" bestFit="1" customWidth="1"/>
    <col min="2565" max="2565" width="0" style="44" hidden="1" customWidth="1"/>
    <col min="2566" max="2566" width="30.33203125" style="44" customWidth="1"/>
    <col min="2567" max="2662" width="9.109375" style="44" customWidth="1"/>
    <col min="2663" max="2816" width="9.109375" style="44"/>
    <col min="2817" max="2817" width="3.33203125" style="44" customWidth="1"/>
    <col min="2818" max="2818" width="41.88671875" style="44" customWidth="1"/>
    <col min="2819" max="2819" width="19.88671875" style="44" customWidth="1"/>
    <col min="2820" max="2820" width="20.5546875" style="44" bestFit="1" customWidth="1"/>
    <col min="2821" max="2821" width="0" style="44" hidden="1" customWidth="1"/>
    <col min="2822" max="2822" width="30.33203125" style="44" customWidth="1"/>
    <col min="2823" max="2918" width="9.109375" style="44" customWidth="1"/>
    <col min="2919" max="3072" width="9.109375" style="44"/>
    <col min="3073" max="3073" width="3.33203125" style="44" customWidth="1"/>
    <col min="3074" max="3074" width="41.88671875" style="44" customWidth="1"/>
    <col min="3075" max="3075" width="19.88671875" style="44" customWidth="1"/>
    <col min="3076" max="3076" width="20.5546875" style="44" bestFit="1" customWidth="1"/>
    <col min="3077" max="3077" width="0" style="44" hidden="1" customWidth="1"/>
    <col min="3078" max="3078" width="30.33203125" style="44" customWidth="1"/>
    <col min="3079" max="3174" width="9.109375" style="44" customWidth="1"/>
    <col min="3175" max="3328" width="9.109375" style="44"/>
    <col min="3329" max="3329" width="3.33203125" style="44" customWidth="1"/>
    <col min="3330" max="3330" width="41.88671875" style="44" customWidth="1"/>
    <col min="3331" max="3331" width="19.88671875" style="44" customWidth="1"/>
    <col min="3332" max="3332" width="20.5546875" style="44" bestFit="1" customWidth="1"/>
    <col min="3333" max="3333" width="0" style="44" hidden="1" customWidth="1"/>
    <col min="3334" max="3334" width="30.33203125" style="44" customWidth="1"/>
    <col min="3335" max="3430" width="9.109375" style="44" customWidth="1"/>
    <col min="3431" max="3584" width="9.109375" style="44"/>
    <col min="3585" max="3585" width="3.33203125" style="44" customWidth="1"/>
    <col min="3586" max="3586" width="41.88671875" style="44" customWidth="1"/>
    <col min="3587" max="3587" width="19.88671875" style="44" customWidth="1"/>
    <col min="3588" max="3588" width="20.5546875" style="44" bestFit="1" customWidth="1"/>
    <col min="3589" max="3589" width="0" style="44" hidden="1" customWidth="1"/>
    <col min="3590" max="3590" width="30.33203125" style="44" customWidth="1"/>
    <col min="3591" max="3686" width="9.109375" style="44" customWidth="1"/>
    <col min="3687" max="3840" width="9.109375" style="44"/>
    <col min="3841" max="3841" width="3.33203125" style="44" customWidth="1"/>
    <col min="3842" max="3842" width="41.88671875" style="44" customWidth="1"/>
    <col min="3843" max="3843" width="19.88671875" style="44" customWidth="1"/>
    <col min="3844" max="3844" width="20.5546875" style="44" bestFit="1" customWidth="1"/>
    <col min="3845" max="3845" width="0" style="44" hidden="1" customWidth="1"/>
    <col min="3846" max="3846" width="30.33203125" style="44" customWidth="1"/>
    <col min="3847" max="3942" width="9.109375" style="44" customWidth="1"/>
    <col min="3943" max="4096" width="9.109375" style="44"/>
    <col min="4097" max="4097" width="3.33203125" style="44" customWidth="1"/>
    <col min="4098" max="4098" width="41.88671875" style="44" customWidth="1"/>
    <col min="4099" max="4099" width="19.88671875" style="44" customWidth="1"/>
    <col min="4100" max="4100" width="20.5546875" style="44" bestFit="1" customWidth="1"/>
    <col min="4101" max="4101" width="0" style="44" hidden="1" customWidth="1"/>
    <col min="4102" max="4102" width="30.33203125" style="44" customWidth="1"/>
    <col min="4103" max="4198" width="9.109375" style="44" customWidth="1"/>
    <col min="4199" max="4352" width="9.109375" style="44"/>
    <col min="4353" max="4353" width="3.33203125" style="44" customWidth="1"/>
    <col min="4354" max="4354" width="41.88671875" style="44" customWidth="1"/>
    <col min="4355" max="4355" width="19.88671875" style="44" customWidth="1"/>
    <col min="4356" max="4356" width="20.5546875" style="44" bestFit="1" customWidth="1"/>
    <col min="4357" max="4357" width="0" style="44" hidden="1" customWidth="1"/>
    <col min="4358" max="4358" width="30.33203125" style="44" customWidth="1"/>
    <col min="4359" max="4454" width="9.109375" style="44" customWidth="1"/>
    <col min="4455" max="4608" width="9.109375" style="44"/>
    <col min="4609" max="4609" width="3.33203125" style="44" customWidth="1"/>
    <col min="4610" max="4610" width="41.88671875" style="44" customWidth="1"/>
    <col min="4611" max="4611" width="19.88671875" style="44" customWidth="1"/>
    <col min="4612" max="4612" width="20.5546875" style="44" bestFit="1" customWidth="1"/>
    <col min="4613" max="4613" width="0" style="44" hidden="1" customWidth="1"/>
    <col min="4614" max="4614" width="30.33203125" style="44" customWidth="1"/>
    <col min="4615" max="4710" width="9.109375" style="44" customWidth="1"/>
    <col min="4711" max="4864" width="9.109375" style="44"/>
    <col min="4865" max="4865" width="3.33203125" style="44" customWidth="1"/>
    <col min="4866" max="4866" width="41.88671875" style="44" customWidth="1"/>
    <col min="4867" max="4867" width="19.88671875" style="44" customWidth="1"/>
    <col min="4868" max="4868" width="20.5546875" style="44" bestFit="1" customWidth="1"/>
    <col min="4869" max="4869" width="0" style="44" hidden="1" customWidth="1"/>
    <col min="4870" max="4870" width="30.33203125" style="44" customWidth="1"/>
    <col min="4871" max="4966" width="9.109375" style="44" customWidth="1"/>
    <col min="4967" max="5120" width="9.109375" style="44"/>
    <col min="5121" max="5121" width="3.33203125" style="44" customWidth="1"/>
    <col min="5122" max="5122" width="41.88671875" style="44" customWidth="1"/>
    <col min="5123" max="5123" width="19.88671875" style="44" customWidth="1"/>
    <col min="5124" max="5124" width="20.5546875" style="44" bestFit="1" customWidth="1"/>
    <col min="5125" max="5125" width="0" style="44" hidden="1" customWidth="1"/>
    <col min="5126" max="5126" width="30.33203125" style="44" customWidth="1"/>
    <col min="5127" max="5222" width="9.109375" style="44" customWidth="1"/>
    <col min="5223" max="5376" width="9.109375" style="44"/>
    <col min="5377" max="5377" width="3.33203125" style="44" customWidth="1"/>
    <col min="5378" max="5378" width="41.88671875" style="44" customWidth="1"/>
    <col min="5379" max="5379" width="19.88671875" style="44" customWidth="1"/>
    <col min="5380" max="5380" width="20.5546875" style="44" bestFit="1" customWidth="1"/>
    <col min="5381" max="5381" width="0" style="44" hidden="1" customWidth="1"/>
    <col min="5382" max="5382" width="30.33203125" style="44" customWidth="1"/>
    <col min="5383" max="5478" width="9.109375" style="44" customWidth="1"/>
    <col min="5479" max="5632" width="9.109375" style="44"/>
    <col min="5633" max="5633" width="3.33203125" style="44" customWidth="1"/>
    <col min="5634" max="5634" width="41.88671875" style="44" customWidth="1"/>
    <col min="5635" max="5635" width="19.88671875" style="44" customWidth="1"/>
    <col min="5636" max="5636" width="20.5546875" style="44" bestFit="1" customWidth="1"/>
    <col min="5637" max="5637" width="0" style="44" hidden="1" customWidth="1"/>
    <col min="5638" max="5638" width="30.33203125" style="44" customWidth="1"/>
    <col min="5639" max="5734" width="9.109375" style="44" customWidth="1"/>
    <col min="5735" max="5888" width="9.109375" style="44"/>
    <col min="5889" max="5889" width="3.33203125" style="44" customWidth="1"/>
    <col min="5890" max="5890" width="41.88671875" style="44" customWidth="1"/>
    <col min="5891" max="5891" width="19.88671875" style="44" customWidth="1"/>
    <col min="5892" max="5892" width="20.5546875" style="44" bestFit="1" customWidth="1"/>
    <col min="5893" max="5893" width="0" style="44" hidden="1" customWidth="1"/>
    <col min="5894" max="5894" width="30.33203125" style="44" customWidth="1"/>
    <col min="5895" max="5990" width="9.109375" style="44" customWidth="1"/>
    <col min="5991" max="6144" width="9.109375" style="44"/>
    <col min="6145" max="6145" width="3.33203125" style="44" customWidth="1"/>
    <col min="6146" max="6146" width="41.88671875" style="44" customWidth="1"/>
    <col min="6147" max="6147" width="19.88671875" style="44" customWidth="1"/>
    <col min="6148" max="6148" width="20.5546875" style="44" bestFit="1" customWidth="1"/>
    <col min="6149" max="6149" width="0" style="44" hidden="1" customWidth="1"/>
    <col min="6150" max="6150" width="30.33203125" style="44" customWidth="1"/>
    <col min="6151" max="6246" width="9.109375" style="44" customWidth="1"/>
    <col min="6247" max="6400" width="9.109375" style="44"/>
    <col min="6401" max="6401" width="3.33203125" style="44" customWidth="1"/>
    <col min="6402" max="6402" width="41.88671875" style="44" customWidth="1"/>
    <col min="6403" max="6403" width="19.88671875" style="44" customWidth="1"/>
    <col min="6404" max="6404" width="20.5546875" style="44" bestFit="1" customWidth="1"/>
    <col min="6405" max="6405" width="0" style="44" hidden="1" customWidth="1"/>
    <col min="6406" max="6406" width="30.33203125" style="44" customWidth="1"/>
    <col min="6407" max="6502" width="9.109375" style="44" customWidth="1"/>
    <col min="6503" max="6656" width="9.109375" style="44"/>
    <col min="6657" max="6657" width="3.33203125" style="44" customWidth="1"/>
    <col min="6658" max="6658" width="41.88671875" style="44" customWidth="1"/>
    <col min="6659" max="6659" width="19.88671875" style="44" customWidth="1"/>
    <col min="6660" max="6660" width="20.5546875" style="44" bestFit="1" customWidth="1"/>
    <col min="6661" max="6661" width="0" style="44" hidden="1" customWidth="1"/>
    <col min="6662" max="6662" width="30.33203125" style="44" customWidth="1"/>
    <col min="6663" max="6758" width="9.109375" style="44" customWidth="1"/>
    <col min="6759" max="6912" width="9.109375" style="44"/>
    <col min="6913" max="6913" width="3.33203125" style="44" customWidth="1"/>
    <col min="6914" max="6914" width="41.88671875" style="44" customWidth="1"/>
    <col min="6915" max="6915" width="19.88671875" style="44" customWidth="1"/>
    <col min="6916" max="6916" width="20.5546875" style="44" bestFit="1" customWidth="1"/>
    <col min="6917" max="6917" width="0" style="44" hidden="1" customWidth="1"/>
    <col min="6918" max="6918" width="30.33203125" style="44" customWidth="1"/>
    <col min="6919" max="7014" width="9.109375" style="44" customWidth="1"/>
    <col min="7015" max="7168" width="9.109375" style="44"/>
    <col min="7169" max="7169" width="3.33203125" style="44" customWidth="1"/>
    <col min="7170" max="7170" width="41.88671875" style="44" customWidth="1"/>
    <col min="7171" max="7171" width="19.88671875" style="44" customWidth="1"/>
    <col min="7172" max="7172" width="20.5546875" style="44" bestFit="1" customWidth="1"/>
    <col min="7173" max="7173" width="0" style="44" hidden="1" customWidth="1"/>
    <col min="7174" max="7174" width="30.33203125" style="44" customWidth="1"/>
    <col min="7175" max="7270" width="9.109375" style="44" customWidth="1"/>
    <col min="7271" max="7424" width="9.109375" style="44"/>
    <col min="7425" max="7425" width="3.33203125" style="44" customWidth="1"/>
    <col min="7426" max="7426" width="41.88671875" style="44" customWidth="1"/>
    <col min="7427" max="7427" width="19.88671875" style="44" customWidth="1"/>
    <col min="7428" max="7428" width="20.5546875" style="44" bestFit="1" customWidth="1"/>
    <col min="7429" max="7429" width="0" style="44" hidden="1" customWidth="1"/>
    <col min="7430" max="7430" width="30.33203125" style="44" customWidth="1"/>
    <col min="7431" max="7526" width="9.109375" style="44" customWidth="1"/>
    <col min="7527" max="7680" width="9.109375" style="44"/>
    <col min="7681" max="7681" width="3.33203125" style="44" customWidth="1"/>
    <col min="7682" max="7682" width="41.88671875" style="44" customWidth="1"/>
    <col min="7683" max="7683" width="19.88671875" style="44" customWidth="1"/>
    <col min="7684" max="7684" width="20.5546875" style="44" bestFit="1" customWidth="1"/>
    <col min="7685" max="7685" width="0" style="44" hidden="1" customWidth="1"/>
    <col min="7686" max="7686" width="30.33203125" style="44" customWidth="1"/>
    <col min="7687" max="7782" width="9.109375" style="44" customWidth="1"/>
    <col min="7783" max="7936" width="9.109375" style="44"/>
    <col min="7937" max="7937" width="3.33203125" style="44" customWidth="1"/>
    <col min="7938" max="7938" width="41.88671875" style="44" customWidth="1"/>
    <col min="7939" max="7939" width="19.88671875" style="44" customWidth="1"/>
    <col min="7940" max="7940" width="20.5546875" style="44" bestFit="1" customWidth="1"/>
    <col min="7941" max="7941" width="0" style="44" hidden="1" customWidth="1"/>
    <col min="7942" max="7942" width="30.33203125" style="44" customWidth="1"/>
    <col min="7943" max="8038" width="9.109375" style="44" customWidth="1"/>
    <col min="8039" max="8192" width="9.109375" style="44"/>
    <col min="8193" max="8193" width="3.33203125" style="44" customWidth="1"/>
    <col min="8194" max="8194" width="41.88671875" style="44" customWidth="1"/>
    <col min="8195" max="8195" width="19.88671875" style="44" customWidth="1"/>
    <col min="8196" max="8196" width="20.5546875" style="44" bestFit="1" customWidth="1"/>
    <col min="8197" max="8197" width="0" style="44" hidden="1" customWidth="1"/>
    <col min="8198" max="8198" width="30.33203125" style="44" customWidth="1"/>
    <col min="8199" max="8294" width="9.109375" style="44" customWidth="1"/>
    <col min="8295" max="8448" width="9.109375" style="44"/>
    <col min="8449" max="8449" width="3.33203125" style="44" customWidth="1"/>
    <col min="8450" max="8450" width="41.88671875" style="44" customWidth="1"/>
    <col min="8451" max="8451" width="19.88671875" style="44" customWidth="1"/>
    <col min="8452" max="8452" width="20.5546875" style="44" bestFit="1" customWidth="1"/>
    <col min="8453" max="8453" width="0" style="44" hidden="1" customWidth="1"/>
    <col min="8454" max="8454" width="30.33203125" style="44" customWidth="1"/>
    <col min="8455" max="8550" width="9.109375" style="44" customWidth="1"/>
    <col min="8551" max="8704" width="9.109375" style="44"/>
    <col min="8705" max="8705" width="3.33203125" style="44" customWidth="1"/>
    <col min="8706" max="8706" width="41.88671875" style="44" customWidth="1"/>
    <col min="8707" max="8707" width="19.88671875" style="44" customWidth="1"/>
    <col min="8708" max="8708" width="20.5546875" style="44" bestFit="1" customWidth="1"/>
    <col min="8709" max="8709" width="0" style="44" hidden="1" customWidth="1"/>
    <col min="8710" max="8710" width="30.33203125" style="44" customWidth="1"/>
    <col min="8711" max="8806" width="9.109375" style="44" customWidth="1"/>
    <col min="8807" max="8960" width="9.109375" style="44"/>
    <col min="8961" max="8961" width="3.33203125" style="44" customWidth="1"/>
    <col min="8962" max="8962" width="41.88671875" style="44" customWidth="1"/>
    <col min="8963" max="8963" width="19.88671875" style="44" customWidth="1"/>
    <col min="8964" max="8964" width="20.5546875" style="44" bestFit="1" customWidth="1"/>
    <col min="8965" max="8965" width="0" style="44" hidden="1" customWidth="1"/>
    <col min="8966" max="8966" width="30.33203125" style="44" customWidth="1"/>
    <col min="8967" max="9062" width="9.109375" style="44" customWidth="1"/>
    <col min="9063" max="9216" width="9.109375" style="44"/>
    <col min="9217" max="9217" width="3.33203125" style="44" customWidth="1"/>
    <col min="9218" max="9218" width="41.88671875" style="44" customWidth="1"/>
    <col min="9219" max="9219" width="19.88671875" style="44" customWidth="1"/>
    <col min="9220" max="9220" width="20.5546875" style="44" bestFit="1" customWidth="1"/>
    <col min="9221" max="9221" width="0" style="44" hidden="1" customWidth="1"/>
    <col min="9222" max="9222" width="30.33203125" style="44" customWidth="1"/>
    <col min="9223" max="9318" width="9.109375" style="44" customWidth="1"/>
    <col min="9319" max="9472" width="9.109375" style="44"/>
    <col min="9473" max="9473" width="3.33203125" style="44" customWidth="1"/>
    <col min="9474" max="9474" width="41.88671875" style="44" customWidth="1"/>
    <col min="9475" max="9475" width="19.88671875" style="44" customWidth="1"/>
    <col min="9476" max="9476" width="20.5546875" style="44" bestFit="1" customWidth="1"/>
    <col min="9477" max="9477" width="0" style="44" hidden="1" customWidth="1"/>
    <col min="9478" max="9478" width="30.33203125" style="44" customWidth="1"/>
    <col min="9479" max="9574" width="9.109375" style="44" customWidth="1"/>
    <col min="9575" max="9728" width="9.109375" style="44"/>
    <col min="9729" max="9729" width="3.33203125" style="44" customWidth="1"/>
    <col min="9730" max="9730" width="41.88671875" style="44" customWidth="1"/>
    <col min="9731" max="9731" width="19.88671875" style="44" customWidth="1"/>
    <col min="9732" max="9732" width="20.5546875" style="44" bestFit="1" customWidth="1"/>
    <col min="9733" max="9733" width="0" style="44" hidden="1" customWidth="1"/>
    <col min="9734" max="9734" width="30.33203125" style="44" customWidth="1"/>
    <col min="9735" max="9830" width="9.109375" style="44" customWidth="1"/>
    <col min="9831" max="9984" width="9.109375" style="44"/>
    <col min="9985" max="9985" width="3.33203125" style="44" customWidth="1"/>
    <col min="9986" max="9986" width="41.88671875" style="44" customWidth="1"/>
    <col min="9987" max="9987" width="19.88671875" style="44" customWidth="1"/>
    <col min="9988" max="9988" width="20.5546875" style="44" bestFit="1" customWidth="1"/>
    <col min="9989" max="9989" width="0" style="44" hidden="1" customWidth="1"/>
    <col min="9990" max="9990" width="30.33203125" style="44" customWidth="1"/>
    <col min="9991" max="10086" width="9.109375" style="44" customWidth="1"/>
    <col min="10087" max="10240" width="9.109375" style="44"/>
    <col min="10241" max="10241" width="3.33203125" style="44" customWidth="1"/>
    <col min="10242" max="10242" width="41.88671875" style="44" customWidth="1"/>
    <col min="10243" max="10243" width="19.88671875" style="44" customWidth="1"/>
    <col min="10244" max="10244" width="20.5546875" style="44" bestFit="1" customWidth="1"/>
    <col min="10245" max="10245" width="0" style="44" hidden="1" customWidth="1"/>
    <col min="10246" max="10246" width="30.33203125" style="44" customWidth="1"/>
    <col min="10247" max="10342" width="9.109375" style="44" customWidth="1"/>
    <col min="10343" max="10496" width="9.109375" style="44"/>
    <col min="10497" max="10497" width="3.33203125" style="44" customWidth="1"/>
    <col min="10498" max="10498" width="41.88671875" style="44" customWidth="1"/>
    <col min="10499" max="10499" width="19.88671875" style="44" customWidth="1"/>
    <col min="10500" max="10500" width="20.5546875" style="44" bestFit="1" customWidth="1"/>
    <col min="10501" max="10501" width="0" style="44" hidden="1" customWidth="1"/>
    <col min="10502" max="10502" width="30.33203125" style="44" customWidth="1"/>
    <col min="10503" max="10598" width="9.109375" style="44" customWidth="1"/>
    <col min="10599" max="10752" width="9.109375" style="44"/>
    <col min="10753" max="10753" width="3.33203125" style="44" customWidth="1"/>
    <col min="10754" max="10754" width="41.88671875" style="44" customWidth="1"/>
    <col min="10755" max="10755" width="19.88671875" style="44" customWidth="1"/>
    <col min="10756" max="10756" width="20.5546875" style="44" bestFit="1" customWidth="1"/>
    <col min="10757" max="10757" width="0" style="44" hidden="1" customWidth="1"/>
    <col min="10758" max="10758" width="30.33203125" style="44" customWidth="1"/>
    <col min="10759" max="10854" width="9.109375" style="44" customWidth="1"/>
    <col min="10855" max="11008" width="9.109375" style="44"/>
    <col min="11009" max="11009" width="3.33203125" style="44" customWidth="1"/>
    <col min="11010" max="11010" width="41.88671875" style="44" customWidth="1"/>
    <col min="11011" max="11011" width="19.88671875" style="44" customWidth="1"/>
    <col min="11012" max="11012" width="20.5546875" style="44" bestFit="1" customWidth="1"/>
    <col min="11013" max="11013" width="0" style="44" hidden="1" customWidth="1"/>
    <col min="11014" max="11014" width="30.33203125" style="44" customWidth="1"/>
    <col min="11015" max="11110" width="9.109375" style="44" customWidth="1"/>
    <col min="11111" max="11264" width="9.109375" style="44"/>
    <col min="11265" max="11265" width="3.33203125" style="44" customWidth="1"/>
    <col min="11266" max="11266" width="41.88671875" style="44" customWidth="1"/>
    <col min="11267" max="11267" width="19.88671875" style="44" customWidth="1"/>
    <col min="11268" max="11268" width="20.5546875" style="44" bestFit="1" customWidth="1"/>
    <col min="11269" max="11269" width="0" style="44" hidden="1" customWidth="1"/>
    <col min="11270" max="11270" width="30.33203125" style="44" customWidth="1"/>
    <col min="11271" max="11366" width="9.109375" style="44" customWidth="1"/>
    <col min="11367" max="11520" width="9.109375" style="44"/>
    <col min="11521" max="11521" width="3.33203125" style="44" customWidth="1"/>
    <col min="11522" max="11522" width="41.88671875" style="44" customWidth="1"/>
    <col min="11523" max="11523" width="19.88671875" style="44" customWidth="1"/>
    <col min="11524" max="11524" width="20.5546875" style="44" bestFit="1" customWidth="1"/>
    <col min="11525" max="11525" width="0" style="44" hidden="1" customWidth="1"/>
    <col min="11526" max="11526" width="30.33203125" style="44" customWidth="1"/>
    <col min="11527" max="11622" width="9.109375" style="44" customWidth="1"/>
    <col min="11623" max="11776" width="9.109375" style="44"/>
    <col min="11777" max="11777" width="3.33203125" style="44" customWidth="1"/>
    <col min="11778" max="11778" width="41.88671875" style="44" customWidth="1"/>
    <col min="11779" max="11779" width="19.88671875" style="44" customWidth="1"/>
    <col min="11780" max="11780" width="20.5546875" style="44" bestFit="1" customWidth="1"/>
    <col min="11781" max="11781" width="0" style="44" hidden="1" customWidth="1"/>
    <col min="11782" max="11782" width="30.33203125" style="44" customWidth="1"/>
    <col min="11783" max="11878" width="9.109375" style="44" customWidth="1"/>
    <col min="11879" max="12032" width="9.109375" style="44"/>
    <col min="12033" max="12033" width="3.33203125" style="44" customWidth="1"/>
    <col min="12034" max="12034" width="41.88671875" style="44" customWidth="1"/>
    <col min="12035" max="12035" width="19.88671875" style="44" customWidth="1"/>
    <col min="12036" max="12036" width="20.5546875" style="44" bestFit="1" customWidth="1"/>
    <col min="12037" max="12037" width="0" style="44" hidden="1" customWidth="1"/>
    <col min="12038" max="12038" width="30.33203125" style="44" customWidth="1"/>
    <col min="12039" max="12134" width="9.109375" style="44" customWidth="1"/>
    <col min="12135" max="12288" width="9.109375" style="44"/>
    <col min="12289" max="12289" width="3.33203125" style="44" customWidth="1"/>
    <col min="12290" max="12290" width="41.88671875" style="44" customWidth="1"/>
    <col min="12291" max="12291" width="19.88671875" style="44" customWidth="1"/>
    <col min="12292" max="12292" width="20.5546875" style="44" bestFit="1" customWidth="1"/>
    <col min="12293" max="12293" width="0" style="44" hidden="1" customWidth="1"/>
    <col min="12294" max="12294" width="30.33203125" style="44" customWidth="1"/>
    <col min="12295" max="12390" width="9.109375" style="44" customWidth="1"/>
    <col min="12391" max="12544" width="9.109375" style="44"/>
    <col min="12545" max="12545" width="3.33203125" style="44" customWidth="1"/>
    <col min="12546" max="12546" width="41.88671875" style="44" customWidth="1"/>
    <col min="12547" max="12547" width="19.88671875" style="44" customWidth="1"/>
    <col min="12548" max="12548" width="20.5546875" style="44" bestFit="1" customWidth="1"/>
    <col min="12549" max="12549" width="0" style="44" hidden="1" customWidth="1"/>
    <col min="12550" max="12550" width="30.33203125" style="44" customWidth="1"/>
    <col min="12551" max="12646" width="9.109375" style="44" customWidth="1"/>
    <col min="12647" max="12800" width="9.109375" style="44"/>
    <col min="12801" max="12801" width="3.33203125" style="44" customWidth="1"/>
    <col min="12802" max="12802" width="41.88671875" style="44" customWidth="1"/>
    <col min="12803" max="12803" width="19.88671875" style="44" customWidth="1"/>
    <col min="12804" max="12804" width="20.5546875" style="44" bestFit="1" customWidth="1"/>
    <col min="12805" max="12805" width="0" style="44" hidden="1" customWidth="1"/>
    <col min="12806" max="12806" width="30.33203125" style="44" customWidth="1"/>
    <col min="12807" max="12902" width="9.109375" style="44" customWidth="1"/>
    <col min="12903" max="13056" width="9.109375" style="44"/>
    <col min="13057" max="13057" width="3.33203125" style="44" customWidth="1"/>
    <col min="13058" max="13058" width="41.88671875" style="44" customWidth="1"/>
    <col min="13059" max="13059" width="19.88671875" style="44" customWidth="1"/>
    <col min="13060" max="13060" width="20.5546875" style="44" bestFit="1" customWidth="1"/>
    <col min="13061" max="13061" width="0" style="44" hidden="1" customWidth="1"/>
    <col min="13062" max="13062" width="30.33203125" style="44" customWidth="1"/>
    <col min="13063" max="13158" width="9.109375" style="44" customWidth="1"/>
    <col min="13159" max="13312" width="9.109375" style="44"/>
    <col min="13313" max="13313" width="3.33203125" style="44" customWidth="1"/>
    <col min="13314" max="13314" width="41.88671875" style="44" customWidth="1"/>
    <col min="13315" max="13315" width="19.88671875" style="44" customWidth="1"/>
    <col min="13316" max="13316" width="20.5546875" style="44" bestFit="1" customWidth="1"/>
    <col min="13317" max="13317" width="0" style="44" hidden="1" customWidth="1"/>
    <col min="13318" max="13318" width="30.33203125" style="44" customWidth="1"/>
    <col min="13319" max="13414" width="9.109375" style="44" customWidth="1"/>
    <col min="13415" max="13568" width="9.109375" style="44"/>
    <col min="13569" max="13569" width="3.33203125" style="44" customWidth="1"/>
    <col min="13570" max="13570" width="41.88671875" style="44" customWidth="1"/>
    <col min="13571" max="13571" width="19.88671875" style="44" customWidth="1"/>
    <col min="13572" max="13572" width="20.5546875" style="44" bestFit="1" customWidth="1"/>
    <col min="13573" max="13573" width="0" style="44" hidden="1" customWidth="1"/>
    <col min="13574" max="13574" width="30.33203125" style="44" customWidth="1"/>
    <col min="13575" max="13670" width="9.109375" style="44" customWidth="1"/>
    <col min="13671" max="13824" width="9.109375" style="44"/>
    <col min="13825" max="13825" width="3.33203125" style="44" customWidth="1"/>
    <col min="13826" max="13826" width="41.88671875" style="44" customWidth="1"/>
    <col min="13827" max="13827" width="19.88671875" style="44" customWidth="1"/>
    <col min="13828" max="13828" width="20.5546875" style="44" bestFit="1" customWidth="1"/>
    <col min="13829" max="13829" width="0" style="44" hidden="1" customWidth="1"/>
    <col min="13830" max="13830" width="30.33203125" style="44" customWidth="1"/>
    <col min="13831" max="13926" width="9.109375" style="44" customWidth="1"/>
    <col min="13927" max="14080" width="9.109375" style="44"/>
    <col min="14081" max="14081" width="3.33203125" style="44" customWidth="1"/>
    <col min="14082" max="14082" width="41.88671875" style="44" customWidth="1"/>
    <col min="14083" max="14083" width="19.88671875" style="44" customWidth="1"/>
    <col min="14084" max="14084" width="20.5546875" style="44" bestFit="1" customWidth="1"/>
    <col min="14085" max="14085" width="0" style="44" hidden="1" customWidth="1"/>
    <col min="14086" max="14086" width="30.33203125" style="44" customWidth="1"/>
    <col min="14087" max="14182" width="9.109375" style="44" customWidth="1"/>
    <col min="14183" max="14336" width="9.109375" style="44"/>
    <col min="14337" max="14337" width="3.33203125" style="44" customWidth="1"/>
    <col min="14338" max="14338" width="41.88671875" style="44" customWidth="1"/>
    <col min="14339" max="14339" width="19.88671875" style="44" customWidth="1"/>
    <col min="14340" max="14340" width="20.5546875" style="44" bestFit="1" customWidth="1"/>
    <col min="14341" max="14341" width="0" style="44" hidden="1" customWidth="1"/>
    <col min="14342" max="14342" width="30.33203125" style="44" customWidth="1"/>
    <col min="14343" max="14438" width="9.109375" style="44" customWidth="1"/>
    <col min="14439" max="14592" width="9.109375" style="44"/>
    <col min="14593" max="14593" width="3.33203125" style="44" customWidth="1"/>
    <col min="14594" max="14594" width="41.88671875" style="44" customWidth="1"/>
    <col min="14595" max="14595" width="19.88671875" style="44" customWidth="1"/>
    <col min="14596" max="14596" width="20.5546875" style="44" bestFit="1" customWidth="1"/>
    <col min="14597" max="14597" width="0" style="44" hidden="1" customWidth="1"/>
    <col min="14598" max="14598" width="30.33203125" style="44" customWidth="1"/>
    <col min="14599" max="14694" width="9.109375" style="44" customWidth="1"/>
    <col min="14695" max="14848" width="9.109375" style="44"/>
    <col min="14849" max="14849" width="3.33203125" style="44" customWidth="1"/>
    <col min="14850" max="14850" width="41.88671875" style="44" customWidth="1"/>
    <col min="14851" max="14851" width="19.88671875" style="44" customWidth="1"/>
    <col min="14852" max="14852" width="20.5546875" style="44" bestFit="1" customWidth="1"/>
    <col min="14853" max="14853" width="0" style="44" hidden="1" customWidth="1"/>
    <col min="14854" max="14854" width="30.33203125" style="44" customWidth="1"/>
    <col min="14855" max="14950" width="9.109375" style="44" customWidth="1"/>
    <col min="14951" max="15104" width="9.109375" style="44"/>
    <col min="15105" max="15105" width="3.33203125" style="44" customWidth="1"/>
    <col min="15106" max="15106" width="41.88671875" style="44" customWidth="1"/>
    <col min="15107" max="15107" width="19.88671875" style="44" customWidth="1"/>
    <col min="15108" max="15108" width="20.5546875" style="44" bestFit="1" customWidth="1"/>
    <col min="15109" max="15109" width="0" style="44" hidden="1" customWidth="1"/>
    <col min="15110" max="15110" width="30.33203125" style="44" customWidth="1"/>
    <col min="15111" max="15206" width="9.109375" style="44" customWidth="1"/>
    <col min="15207" max="15360" width="9.109375" style="44"/>
    <col min="15361" max="15361" width="3.33203125" style="44" customWidth="1"/>
    <col min="15362" max="15362" width="41.88671875" style="44" customWidth="1"/>
    <col min="15363" max="15363" width="19.88671875" style="44" customWidth="1"/>
    <col min="15364" max="15364" width="20.5546875" style="44" bestFit="1" customWidth="1"/>
    <col min="15365" max="15365" width="0" style="44" hidden="1" customWidth="1"/>
    <col min="15366" max="15366" width="30.33203125" style="44" customWidth="1"/>
    <col min="15367" max="15462" width="9.109375" style="44" customWidth="1"/>
    <col min="15463" max="15616" width="9.109375" style="44"/>
    <col min="15617" max="15617" width="3.33203125" style="44" customWidth="1"/>
    <col min="15618" max="15618" width="41.88671875" style="44" customWidth="1"/>
    <col min="15619" max="15619" width="19.88671875" style="44" customWidth="1"/>
    <col min="15620" max="15620" width="20.5546875" style="44" bestFit="1" customWidth="1"/>
    <col min="15621" max="15621" width="0" style="44" hidden="1" customWidth="1"/>
    <col min="15622" max="15622" width="30.33203125" style="44" customWidth="1"/>
    <col min="15623" max="15718" width="9.109375" style="44" customWidth="1"/>
    <col min="15719" max="15872" width="9.109375" style="44"/>
    <col min="15873" max="15873" width="3.33203125" style="44" customWidth="1"/>
    <col min="15874" max="15874" width="41.88671875" style="44" customWidth="1"/>
    <col min="15875" max="15875" width="19.88671875" style="44" customWidth="1"/>
    <col min="15876" max="15876" width="20.5546875" style="44" bestFit="1" customWidth="1"/>
    <col min="15877" max="15877" width="0" style="44" hidden="1" customWidth="1"/>
    <col min="15878" max="15878" width="30.33203125" style="44" customWidth="1"/>
    <col min="15879" max="15974" width="9.109375" style="44" customWidth="1"/>
    <col min="15975" max="16128" width="9.109375" style="44"/>
    <col min="16129" max="16129" width="3.33203125" style="44" customWidth="1"/>
    <col min="16130" max="16130" width="41.88671875" style="44" customWidth="1"/>
    <col min="16131" max="16131" width="19.88671875" style="44" customWidth="1"/>
    <col min="16132" max="16132" width="20.5546875" style="44" bestFit="1" customWidth="1"/>
    <col min="16133" max="16133" width="0" style="44" hidden="1" customWidth="1"/>
    <col min="16134" max="16134" width="30.33203125" style="44" customWidth="1"/>
    <col min="16135" max="16230" width="9.109375" style="44" customWidth="1"/>
    <col min="16231" max="16384" width="9.109375" style="44"/>
  </cols>
  <sheetData>
    <row r="1" spans="1:102">
      <c r="O1" s="118" t="s">
        <v>284</v>
      </c>
    </row>
    <row r="2" spans="1:102" ht="19.5" customHeight="1">
      <c r="A2" s="138" t="s">
        <v>37</v>
      </c>
      <c r="B2" s="138"/>
      <c r="C2" s="138"/>
      <c r="D2" s="138"/>
      <c r="E2" s="138"/>
    </row>
    <row r="3" spans="1:102" s="46" customFormat="1" ht="12" customHeight="1" thickBot="1">
      <c r="A3" s="45"/>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row>
    <row r="4" spans="1:102" s="74" customFormat="1" ht="46.5" customHeight="1">
      <c r="A4" s="70" t="s">
        <v>38</v>
      </c>
      <c r="B4" s="71" t="s">
        <v>39</v>
      </c>
      <c r="C4" s="72" t="s">
        <v>107</v>
      </c>
      <c r="D4" s="72" t="s">
        <v>107</v>
      </c>
      <c r="E4" s="72" t="s">
        <v>107</v>
      </c>
      <c r="F4" s="72" t="s">
        <v>107</v>
      </c>
      <c r="G4" s="72" t="s">
        <v>107</v>
      </c>
      <c r="H4" s="72" t="s">
        <v>107</v>
      </c>
      <c r="I4" s="72" t="s">
        <v>107</v>
      </c>
      <c r="J4" s="72" t="s">
        <v>107</v>
      </c>
      <c r="K4" s="72" t="s">
        <v>107</v>
      </c>
      <c r="L4" s="72" t="s">
        <v>107</v>
      </c>
      <c r="M4" s="72" t="s">
        <v>107</v>
      </c>
      <c r="N4" s="72" t="s">
        <v>107</v>
      </c>
      <c r="O4" s="72" t="s">
        <v>107</v>
      </c>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c r="CV4" s="73"/>
      <c r="CW4" s="73"/>
      <c r="CX4" s="73"/>
    </row>
    <row r="5" spans="1:102" s="51" customFormat="1" ht="18.75" customHeight="1">
      <c r="A5" s="48"/>
      <c r="B5" s="49" t="s">
        <v>104</v>
      </c>
      <c r="C5" s="75">
        <v>1</v>
      </c>
      <c r="D5" s="48">
        <v>2</v>
      </c>
      <c r="E5" s="48">
        <v>3</v>
      </c>
      <c r="F5" s="48">
        <v>4</v>
      </c>
      <c r="G5" s="48">
        <v>5</v>
      </c>
      <c r="H5" s="48">
        <v>6</v>
      </c>
      <c r="I5" s="48">
        <v>7</v>
      </c>
      <c r="J5" s="48">
        <v>8</v>
      </c>
      <c r="K5" s="48">
        <v>9</v>
      </c>
      <c r="L5" s="48">
        <v>10</v>
      </c>
      <c r="M5" s="48">
        <v>11</v>
      </c>
      <c r="N5" s="48">
        <v>12</v>
      </c>
      <c r="O5" s="48" t="s">
        <v>105</v>
      </c>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0"/>
      <c r="CG5" s="50"/>
      <c r="CH5" s="50"/>
      <c r="CI5" s="50"/>
      <c r="CJ5" s="50"/>
      <c r="CK5" s="50"/>
      <c r="CL5" s="50"/>
      <c r="CM5" s="50"/>
      <c r="CN5" s="50"/>
      <c r="CO5" s="50"/>
      <c r="CP5" s="50"/>
      <c r="CQ5" s="50"/>
      <c r="CR5" s="50"/>
      <c r="CS5" s="50"/>
      <c r="CT5" s="50"/>
      <c r="CU5" s="50"/>
      <c r="CV5" s="50"/>
      <c r="CW5" s="50"/>
      <c r="CX5" s="50"/>
    </row>
    <row r="6" spans="1:102" s="51" customFormat="1" ht="47.25" customHeight="1">
      <c r="A6" s="52">
        <v>1</v>
      </c>
      <c r="B6" s="53" t="s">
        <v>108</v>
      </c>
      <c r="C6" s="54">
        <v>0</v>
      </c>
      <c r="D6" s="54">
        <v>0</v>
      </c>
      <c r="E6" s="54">
        <v>0</v>
      </c>
      <c r="F6" s="54">
        <v>0</v>
      </c>
      <c r="G6" s="54">
        <v>0</v>
      </c>
      <c r="H6" s="54">
        <v>0</v>
      </c>
      <c r="I6" s="54">
        <v>0</v>
      </c>
      <c r="J6" s="54">
        <v>0</v>
      </c>
      <c r="K6" s="54">
        <v>0</v>
      </c>
      <c r="L6" s="54">
        <v>0</v>
      </c>
      <c r="M6" s="54">
        <v>0</v>
      </c>
      <c r="N6" s="54">
        <v>0</v>
      </c>
      <c r="O6" s="54">
        <f>SUM(C6:N6)</f>
        <v>0</v>
      </c>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row>
    <row r="7" spans="1:102" s="51" customFormat="1" ht="16.2" customHeight="1">
      <c r="A7" s="52">
        <v>2</v>
      </c>
      <c r="B7" s="55" t="s">
        <v>40</v>
      </c>
      <c r="C7" s="54">
        <f>SUM(C8:C15)</f>
        <v>0</v>
      </c>
      <c r="D7" s="54">
        <f>SUM(D8:D15)</f>
        <v>0</v>
      </c>
      <c r="E7" s="54">
        <f>SUM(E8:E15)</f>
        <v>0</v>
      </c>
      <c r="F7" s="54">
        <f t="shared" ref="F7:N7" si="0">SUM(F8:F15)</f>
        <v>0</v>
      </c>
      <c r="G7" s="54">
        <f t="shared" si="0"/>
        <v>0</v>
      </c>
      <c r="H7" s="54">
        <f t="shared" si="0"/>
        <v>0</v>
      </c>
      <c r="I7" s="54">
        <f t="shared" si="0"/>
        <v>0</v>
      </c>
      <c r="J7" s="54">
        <f t="shared" si="0"/>
        <v>0</v>
      </c>
      <c r="K7" s="54">
        <f t="shared" si="0"/>
        <v>0</v>
      </c>
      <c r="L7" s="54">
        <f t="shared" si="0"/>
        <v>0</v>
      </c>
      <c r="M7" s="54">
        <f t="shared" si="0"/>
        <v>0</v>
      </c>
      <c r="N7" s="54">
        <f t="shared" si="0"/>
        <v>0</v>
      </c>
      <c r="O7" s="54">
        <f>SUM(C7:N7)</f>
        <v>0</v>
      </c>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I7" s="50"/>
      <c r="BJ7" s="50"/>
      <c r="BK7" s="50"/>
      <c r="BL7" s="50"/>
      <c r="BM7" s="50"/>
      <c r="BN7" s="50"/>
      <c r="BO7" s="50"/>
      <c r="BP7" s="50"/>
      <c r="BQ7" s="50"/>
      <c r="BR7" s="50"/>
      <c r="BS7" s="50"/>
      <c r="BT7" s="50"/>
      <c r="BU7" s="50"/>
      <c r="BV7" s="50"/>
      <c r="BW7" s="50"/>
      <c r="BX7" s="50"/>
      <c r="BY7" s="50"/>
      <c r="BZ7" s="50"/>
      <c r="CA7" s="50"/>
      <c r="CB7" s="50"/>
      <c r="CC7" s="50"/>
      <c r="CD7" s="50"/>
      <c r="CE7" s="50"/>
      <c r="CF7" s="50"/>
      <c r="CG7" s="50"/>
      <c r="CH7" s="50"/>
      <c r="CI7" s="50"/>
      <c r="CJ7" s="50"/>
      <c r="CK7" s="50"/>
      <c r="CL7" s="50"/>
      <c r="CM7" s="50"/>
      <c r="CN7" s="50"/>
      <c r="CO7" s="50"/>
      <c r="CP7" s="50"/>
      <c r="CQ7" s="50"/>
      <c r="CR7" s="50"/>
      <c r="CS7" s="50"/>
      <c r="CT7" s="50"/>
      <c r="CU7" s="50"/>
      <c r="CV7" s="50"/>
      <c r="CW7" s="50"/>
      <c r="CX7" s="50"/>
    </row>
    <row r="8" spans="1:102" s="60" customFormat="1">
      <c r="A8" s="56" t="s">
        <v>41</v>
      </c>
      <c r="B8" s="57" t="s">
        <v>42</v>
      </c>
      <c r="C8" s="58"/>
      <c r="D8" s="58"/>
      <c r="E8" s="58"/>
      <c r="F8" s="58"/>
      <c r="G8" s="58"/>
      <c r="H8" s="58"/>
      <c r="I8" s="58"/>
      <c r="J8" s="58"/>
      <c r="K8" s="58"/>
      <c r="L8" s="58"/>
      <c r="M8" s="58"/>
      <c r="N8" s="58"/>
      <c r="O8" s="58"/>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row>
    <row r="9" spans="1:102" s="60" customFormat="1">
      <c r="A9" s="56" t="s">
        <v>43</v>
      </c>
      <c r="B9" s="57" t="s">
        <v>44</v>
      </c>
      <c r="C9" s="58"/>
      <c r="D9" s="58"/>
      <c r="E9" s="58"/>
      <c r="F9" s="58"/>
      <c r="G9" s="58"/>
      <c r="H9" s="58"/>
      <c r="I9" s="58"/>
      <c r="J9" s="58"/>
      <c r="K9" s="58"/>
      <c r="L9" s="58"/>
      <c r="M9" s="58"/>
      <c r="N9" s="58"/>
      <c r="O9" s="58"/>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row>
    <row r="10" spans="1:102" s="60" customFormat="1">
      <c r="A10" s="56" t="s">
        <v>45</v>
      </c>
      <c r="B10" s="57" t="s">
        <v>46</v>
      </c>
      <c r="C10" s="58"/>
      <c r="D10" s="58"/>
      <c r="E10" s="58"/>
      <c r="F10" s="58"/>
      <c r="G10" s="58"/>
      <c r="H10" s="58"/>
      <c r="I10" s="58"/>
      <c r="J10" s="58"/>
      <c r="K10" s="58"/>
      <c r="L10" s="58"/>
      <c r="M10" s="58"/>
      <c r="N10" s="58"/>
      <c r="O10" s="58"/>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59"/>
      <c r="CW10" s="59"/>
      <c r="CX10" s="59"/>
    </row>
    <row r="11" spans="1:102" s="60" customFormat="1" ht="12.6" customHeight="1">
      <c r="A11" s="56" t="s">
        <v>47</v>
      </c>
      <c r="B11" s="57" t="s">
        <v>48</v>
      </c>
      <c r="C11" s="58"/>
      <c r="D11" s="58"/>
      <c r="E11" s="58"/>
      <c r="F11" s="58"/>
      <c r="G11" s="58"/>
      <c r="H11" s="58"/>
      <c r="I11" s="58"/>
      <c r="J11" s="58"/>
      <c r="K11" s="58"/>
      <c r="L11" s="58"/>
      <c r="M11" s="58"/>
      <c r="N11" s="58"/>
      <c r="O11" s="58"/>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row>
    <row r="12" spans="1:102" s="60" customFormat="1">
      <c r="A12" s="56" t="s">
        <v>49</v>
      </c>
      <c r="B12" s="57" t="s">
        <v>50</v>
      </c>
      <c r="C12" s="58"/>
      <c r="D12" s="58"/>
      <c r="E12" s="58"/>
      <c r="F12" s="58"/>
      <c r="G12" s="58"/>
      <c r="H12" s="58"/>
      <c r="I12" s="58"/>
      <c r="J12" s="58"/>
      <c r="K12" s="58"/>
      <c r="L12" s="58"/>
      <c r="M12" s="58"/>
      <c r="N12" s="58"/>
      <c r="O12" s="58"/>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row>
    <row r="13" spans="1:102" s="60" customFormat="1">
      <c r="A13" s="56" t="s">
        <v>51</v>
      </c>
      <c r="B13" s="57" t="s">
        <v>52</v>
      </c>
      <c r="C13" s="58"/>
      <c r="D13" s="58"/>
      <c r="E13" s="58"/>
      <c r="F13" s="58"/>
      <c r="G13" s="58"/>
      <c r="H13" s="58"/>
      <c r="I13" s="58"/>
      <c r="J13" s="58"/>
      <c r="K13" s="58"/>
      <c r="L13" s="58"/>
      <c r="M13" s="58"/>
      <c r="N13" s="58"/>
      <c r="O13" s="58"/>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row>
    <row r="14" spans="1:102" s="60" customFormat="1">
      <c r="A14" s="56" t="s">
        <v>53</v>
      </c>
      <c r="B14" s="57" t="s">
        <v>54</v>
      </c>
      <c r="C14" s="58"/>
      <c r="D14" s="58"/>
      <c r="E14" s="58"/>
      <c r="F14" s="58"/>
      <c r="G14" s="58"/>
      <c r="H14" s="58"/>
      <c r="I14" s="58"/>
      <c r="J14" s="58"/>
      <c r="K14" s="58"/>
      <c r="L14" s="58"/>
      <c r="M14" s="58"/>
      <c r="N14" s="58"/>
      <c r="O14" s="58"/>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c r="CX14" s="59"/>
    </row>
    <row r="15" spans="1:102" s="60" customFormat="1">
      <c r="A15" s="56" t="s">
        <v>55</v>
      </c>
      <c r="B15" s="57" t="s">
        <v>56</v>
      </c>
      <c r="C15" s="58"/>
      <c r="D15" s="58"/>
      <c r="E15" s="58"/>
      <c r="F15" s="58"/>
      <c r="G15" s="58"/>
      <c r="H15" s="58"/>
      <c r="I15" s="58"/>
      <c r="J15" s="58"/>
      <c r="K15" s="58"/>
      <c r="L15" s="58"/>
      <c r="M15" s="58"/>
      <c r="N15" s="58"/>
      <c r="O15" s="58"/>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59"/>
      <c r="CF15" s="59"/>
      <c r="CG15" s="59"/>
      <c r="CH15" s="59"/>
      <c r="CI15" s="59"/>
      <c r="CJ15" s="59"/>
      <c r="CK15" s="59"/>
      <c r="CL15" s="59"/>
      <c r="CM15" s="59"/>
      <c r="CN15" s="59"/>
      <c r="CO15" s="59"/>
      <c r="CP15" s="59"/>
      <c r="CQ15" s="59"/>
      <c r="CR15" s="59"/>
      <c r="CS15" s="59"/>
      <c r="CT15" s="59"/>
      <c r="CU15" s="59"/>
      <c r="CV15" s="59"/>
      <c r="CW15" s="59"/>
      <c r="CX15" s="59"/>
    </row>
    <row r="16" spans="1:102" s="51" customFormat="1" ht="16.95" customHeight="1">
      <c r="A16" s="52">
        <v>3</v>
      </c>
      <c r="B16" s="61" t="s">
        <v>57</v>
      </c>
      <c r="C16" s="54">
        <f>SUM(C17:C24)</f>
        <v>0</v>
      </c>
      <c r="D16" s="54">
        <f>SUM(D17:D24)</f>
        <v>0</v>
      </c>
      <c r="E16" s="54">
        <f>SUM(E17:E24)</f>
        <v>0</v>
      </c>
      <c r="F16" s="54">
        <f t="shared" ref="F16:N16" si="1">SUM(F17:F24)</f>
        <v>0</v>
      </c>
      <c r="G16" s="54">
        <f t="shared" si="1"/>
        <v>0</v>
      </c>
      <c r="H16" s="54">
        <f t="shared" si="1"/>
        <v>0</v>
      </c>
      <c r="I16" s="54">
        <f t="shared" si="1"/>
        <v>0</v>
      </c>
      <c r="J16" s="54">
        <f t="shared" si="1"/>
        <v>0</v>
      </c>
      <c r="K16" s="54">
        <f t="shared" si="1"/>
        <v>0</v>
      </c>
      <c r="L16" s="54">
        <f t="shared" si="1"/>
        <v>0</v>
      </c>
      <c r="M16" s="54">
        <f t="shared" si="1"/>
        <v>0</v>
      </c>
      <c r="N16" s="54">
        <f t="shared" si="1"/>
        <v>0</v>
      </c>
      <c r="O16" s="54">
        <f>SUM(C16:N16)</f>
        <v>0</v>
      </c>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0"/>
      <c r="BR16" s="50"/>
      <c r="BS16" s="50"/>
      <c r="BT16" s="50"/>
      <c r="BU16" s="50"/>
      <c r="BV16" s="50"/>
      <c r="BW16" s="50"/>
      <c r="BX16" s="50"/>
      <c r="BY16" s="50"/>
      <c r="BZ16" s="50"/>
      <c r="CA16" s="50"/>
      <c r="CB16" s="50"/>
      <c r="CC16" s="50"/>
      <c r="CD16" s="50"/>
      <c r="CE16" s="50"/>
      <c r="CF16" s="50"/>
      <c r="CG16" s="50"/>
      <c r="CH16" s="50"/>
      <c r="CI16" s="50"/>
      <c r="CJ16" s="50"/>
      <c r="CK16" s="50"/>
      <c r="CL16" s="50"/>
      <c r="CM16" s="50"/>
      <c r="CN16" s="50"/>
      <c r="CO16" s="50"/>
      <c r="CP16" s="50"/>
      <c r="CQ16" s="50"/>
      <c r="CR16" s="50"/>
      <c r="CS16" s="50"/>
      <c r="CT16" s="50"/>
      <c r="CU16" s="50"/>
      <c r="CV16" s="50"/>
      <c r="CW16" s="50"/>
      <c r="CX16" s="50"/>
    </row>
    <row r="17" spans="1:102" s="60" customFormat="1">
      <c r="A17" s="56" t="s">
        <v>58</v>
      </c>
      <c r="B17" s="57" t="s">
        <v>59</v>
      </c>
      <c r="C17" s="58"/>
      <c r="D17" s="58"/>
      <c r="E17" s="58"/>
      <c r="F17" s="58"/>
      <c r="G17" s="58"/>
      <c r="H17" s="58"/>
      <c r="I17" s="58"/>
      <c r="J17" s="58"/>
      <c r="K17" s="58"/>
      <c r="L17" s="58"/>
      <c r="M17" s="58"/>
      <c r="N17" s="58"/>
      <c r="O17" s="58"/>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59"/>
      <c r="CM17" s="59"/>
      <c r="CN17" s="59"/>
      <c r="CO17" s="59"/>
      <c r="CP17" s="59"/>
      <c r="CQ17" s="59"/>
      <c r="CR17" s="59"/>
      <c r="CS17" s="59"/>
      <c r="CT17" s="59"/>
      <c r="CU17" s="59"/>
      <c r="CV17" s="59"/>
      <c r="CW17" s="59"/>
      <c r="CX17" s="59"/>
    </row>
    <row r="18" spans="1:102" s="60" customFormat="1">
      <c r="A18" s="56" t="s">
        <v>60</v>
      </c>
      <c r="B18" s="57" t="s">
        <v>61</v>
      </c>
      <c r="C18" s="58"/>
      <c r="D18" s="58"/>
      <c r="E18" s="58"/>
      <c r="F18" s="58"/>
      <c r="G18" s="58"/>
      <c r="H18" s="58"/>
      <c r="I18" s="58"/>
      <c r="J18" s="58"/>
      <c r="K18" s="58"/>
      <c r="L18" s="58"/>
      <c r="M18" s="58"/>
      <c r="N18" s="58"/>
      <c r="O18" s="58"/>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59"/>
      <c r="CR18" s="59"/>
      <c r="CS18" s="59"/>
      <c r="CT18" s="59"/>
      <c r="CU18" s="59"/>
      <c r="CV18" s="59"/>
      <c r="CW18" s="59"/>
      <c r="CX18" s="59"/>
    </row>
    <row r="19" spans="1:102" s="60" customFormat="1">
      <c r="A19" s="56" t="s">
        <v>62</v>
      </c>
      <c r="B19" s="57" t="s">
        <v>63</v>
      </c>
      <c r="C19" s="58"/>
      <c r="D19" s="58"/>
      <c r="E19" s="58"/>
      <c r="F19" s="58"/>
      <c r="G19" s="58"/>
      <c r="H19" s="58"/>
      <c r="I19" s="58"/>
      <c r="J19" s="58"/>
      <c r="K19" s="58"/>
      <c r="L19" s="58"/>
      <c r="M19" s="58"/>
      <c r="N19" s="58"/>
      <c r="O19" s="58"/>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row>
    <row r="20" spans="1:102" s="60" customFormat="1">
      <c r="A20" s="56" t="s">
        <v>64</v>
      </c>
      <c r="B20" s="57" t="s">
        <v>65</v>
      </c>
      <c r="C20" s="58"/>
      <c r="D20" s="58"/>
      <c r="E20" s="58"/>
      <c r="F20" s="58"/>
      <c r="G20" s="58"/>
      <c r="H20" s="58"/>
      <c r="I20" s="58"/>
      <c r="J20" s="58"/>
      <c r="K20" s="58"/>
      <c r="L20" s="58"/>
      <c r="M20" s="58"/>
      <c r="N20" s="58"/>
      <c r="O20" s="58"/>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c r="CX20" s="59"/>
    </row>
    <row r="21" spans="1:102" s="60" customFormat="1" ht="15" customHeight="1">
      <c r="A21" s="56" t="s">
        <v>66</v>
      </c>
      <c r="B21" s="57" t="s">
        <v>67</v>
      </c>
      <c r="C21" s="58"/>
      <c r="D21" s="58"/>
      <c r="E21" s="58"/>
      <c r="F21" s="58"/>
      <c r="G21" s="58"/>
      <c r="H21" s="58"/>
      <c r="I21" s="58"/>
      <c r="J21" s="58"/>
      <c r="K21" s="58"/>
      <c r="L21" s="58"/>
      <c r="M21" s="58"/>
      <c r="N21" s="58"/>
      <c r="O21" s="58"/>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row>
    <row r="22" spans="1:102" s="60" customFormat="1">
      <c r="A22" s="56" t="s">
        <v>68</v>
      </c>
      <c r="B22" s="57" t="s">
        <v>69</v>
      </c>
      <c r="C22" s="58"/>
      <c r="D22" s="58"/>
      <c r="E22" s="58"/>
      <c r="F22" s="58"/>
      <c r="G22" s="58"/>
      <c r="H22" s="58"/>
      <c r="I22" s="58"/>
      <c r="J22" s="58"/>
      <c r="K22" s="58"/>
      <c r="L22" s="58"/>
      <c r="M22" s="58"/>
      <c r="N22" s="58"/>
      <c r="O22" s="58"/>
      <c r="P22" s="59"/>
      <c r="Q22" s="59"/>
      <c r="R22" s="59"/>
      <c r="S22" s="59"/>
      <c r="T22" s="59"/>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row>
    <row r="23" spans="1:102" s="60" customFormat="1">
      <c r="A23" s="56" t="s">
        <v>70</v>
      </c>
      <c r="B23" s="57" t="s">
        <v>71</v>
      </c>
      <c r="C23" s="58"/>
      <c r="D23" s="58"/>
      <c r="E23" s="58"/>
      <c r="F23" s="58"/>
      <c r="G23" s="58"/>
      <c r="H23" s="58"/>
      <c r="I23" s="58"/>
      <c r="J23" s="58"/>
      <c r="K23" s="58"/>
      <c r="L23" s="58"/>
      <c r="M23" s="58"/>
      <c r="N23" s="58"/>
      <c r="O23" s="58"/>
      <c r="P23" s="59"/>
      <c r="Q23" s="59"/>
      <c r="R23" s="59"/>
      <c r="S23" s="59"/>
      <c r="T23" s="59"/>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row>
    <row r="24" spans="1:102" s="60" customFormat="1">
      <c r="A24" s="56" t="s">
        <v>109</v>
      </c>
      <c r="B24" s="57" t="s">
        <v>72</v>
      </c>
      <c r="C24" s="58"/>
      <c r="D24" s="58"/>
      <c r="E24" s="58"/>
      <c r="F24" s="58"/>
      <c r="G24" s="58"/>
      <c r="H24" s="58"/>
      <c r="I24" s="58"/>
      <c r="J24" s="58"/>
      <c r="K24" s="58"/>
      <c r="L24" s="58"/>
      <c r="M24" s="58"/>
      <c r="N24" s="58"/>
      <c r="O24" s="58"/>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59"/>
      <c r="CR24" s="59"/>
      <c r="CS24" s="59"/>
      <c r="CT24" s="59"/>
      <c r="CU24" s="59"/>
      <c r="CV24" s="59"/>
      <c r="CW24" s="59"/>
      <c r="CX24" s="59"/>
    </row>
    <row r="25" spans="1:102" s="51" customFormat="1" ht="19.2" customHeight="1">
      <c r="A25" s="52">
        <v>4</v>
      </c>
      <c r="B25" s="61" t="s">
        <v>73</v>
      </c>
      <c r="C25" s="54">
        <f>SUM(C26:C27)</f>
        <v>0</v>
      </c>
      <c r="D25" s="54">
        <f>SUM(D26:D27)</f>
        <v>0</v>
      </c>
      <c r="E25" s="54">
        <f>SUM(E26:E27)</f>
        <v>0</v>
      </c>
      <c r="F25" s="54">
        <f t="shared" ref="F25:N25" si="2">SUM(F26:F27)</f>
        <v>0</v>
      </c>
      <c r="G25" s="54">
        <f t="shared" si="2"/>
        <v>0</v>
      </c>
      <c r="H25" s="54">
        <f t="shared" si="2"/>
        <v>0</v>
      </c>
      <c r="I25" s="54">
        <f t="shared" si="2"/>
        <v>0</v>
      </c>
      <c r="J25" s="54">
        <f t="shared" si="2"/>
        <v>0</v>
      </c>
      <c r="K25" s="54">
        <f t="shared" si="2"/>
        <v>0</v>
      </c>
      <c r="L25" s="54">
        <f t="shared" si="2"/>
        <v>0</v>
      </c>
      <c r="M25" s="54">
        <f t="shared" si="2"/>
        <v>0</v>
      </c>
      <c r="N25" s="54">
        <f t="shared" si="2"/>
        <v>0</v>
      </c>
      <c r="O25" s="54">
        <f>SUM(C25:N25)</f>
        <v>0</v>
      </c>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c r="CJ25" s="50"/>
      <c r="CK25" s="50"/>
      <c r="CL25" s="50"/>
      <c r="CM25" s="50"/>
      <c r="CN25" s="50"/>
      <c r="CO25" s="50"/>
      <c r="CP25" s="50"/>
      <c r="CQ25" s="50"/>
      <c r="CR25" s="50"/>
      <c r="CS25" s="50"/>
      <c r="CT25" s="50"/>
      <c r="CU25" s="50"/>
      <c r="CV25" s="50"/>
      <c r="CW25" s="50"/>
      <c r="CX25" s="50"/>
    </row>
    <row r="26" spans="1:102" s="60" customFormat="1">
      <c r="A26" s="56" t="s">
        <v>74</v>
      </c>
      <c r="B26" s="57" t="s">
        <v>75</v>
      </c>
      <c r="C26" s="58"/>
      <c r="D26" s="58"/>
      <c r="E26" s="58"/>
      <c r="F26" s="58"/>
      <c r="G26" s="58"/>
      <c r="H26" s="58"/>
      <c r="I26" s="58"/>
      <c r="J26" s="58"/>
      <c r="K26" s="58"/>
      <c r="L26" s="58"/>
      <c r="M26" s="58"/>
      <c r="N26" s="58"/>
      <c r="O26" s="58"/>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59"/>
      <c r="CX26" s="59"/>
    </row>
    <row r="27" spans="1:102" s="60" customFormat="1">
      <c r="A27" s="56" t="s">
        <v>76</v>
      </c>
      <c r="B27" s="57" t="s">
        <v>77</v>
      </c>
      <c r="C27" s="58"/>
      <c r="D27" s="58"/>
      <c r="E27" s="58"/>
      <c r="F27" s="58"/>
      <c r="G27" s="58"/>
      <c r="H27" s="58"/>
      <c r="I27" s="58"/>
      <c r="J27" s="58"/>
      <c r="K27" s="58"/>
      <c r="L27" s="58"/>
      <c r="M27" s="58"/>
      <c r="N27" s="58"/>
      <c r="O27" s="58"/>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row>
    <row r="28" spans="1:102" s="60" customFormat="1" ht="16.95" customHeight="1">
      <c r="A28" s="52">
        <v>5</v>
      </c>
      <c r="B28" s="61" t="s">
        <v>78</v>
      </c>
      <c r="C28" s="54">
        <f>SUM(C29:C30)</f>
        <v>0</v>
      </c>
      <c r="D28" s="54">
        <f>SUM(D29:D30)</f>
        <v>0</v>
      </c>
      <c r="E28" s="54">
        <f>SUM(E29:E30)</f>
        <v>0</v>
      </c>
      <c r="F28" s="54">
        <f t="shared" ref="F28:N28" si="3">SUM(F29:F30)</f>
        <v>0</v>
      </c>
      <c r="G28" s="54">
        <f t="shared" si="3"/>
        <v>0</v>
      </c>
      <c r="H28" s="54">
        <f t="shared" si="3"/>
        <v>0</v>
      </c>
      <c r="I28" s="54">
        <f t="shared" si="3"/>
        <v>0</v>
      </c>
      <c r="J28" s="54">
        <f t="shared" si="3"/>
        <v>0</v>
      </c>
      <c r="K28" s="54">
        <f t="shared" si="3"/>
        <v>0</v>
      </c>
      <c r="L28" s="54">
        <f t="shared" si="3"/>
        <v>0</v>
      </c>
      <c r="M28" s="54">
        <f t="shared" si="3"/>
        <v>0</v>
      </c>
      <c r="N28" s="54">
        <f t="shared" si="3"/>
        <v>0</v>
      </c>
      <c r="O28" s="54">
        <f>SUM(C28:N28)</f>
        <v>0</v>
      </c>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M28" s="59"/>
      <c r="CN28" s="59"/>
      <c r="CO28" s="59"/>
      <c r="CP28" s="59"/>
      <c r="CQ28" s="59"/>
      <c r="CR28" s="59"/>
      <c r="CS28" s="59"/>
      <c r="CT28" s="59"/>
      <c r="CU28" s="59"/>
      <c r="CV28" s="59"/>
      <c r="CW28" s="59"/>
      <c r="CX28" s="59"/>
    </row>
    <row r="29" spans="1:102" s="60" customFormat="1">
      <c r="A29" s="56" t="s">
        <v>79</v>
      </c>
      <c r="B29" s="57" t="s">
        <v>80</v>
      </c>
      <c r="C29" s="58"/>
      <c r="D29" s="58"/>
      <c r="E29" s="58"/>
      <c r="F29" s="58"/>
      <c r="G29" s="58"/>
      <c r="H29" s="58"/>
      <c r="I29" s="58"/>
      <c r="J29" s="58"/>
      <c r="K29" s="58"/>
      <c r="L29" s="58"/>
      <c r="M29" s="58"/>
      <c r="N29" s="58"/>
      <c r="O29" s="58"/>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M29" s="59"/>
      <c r="CN29" s="59"/>
      <c r="CO29" s="59"/>
      <c r="CP29" s="59"/>
      <c r="CQ29" s="59"/>
      <c r="CR29" s="59"/>
      <c r="CS29" s="59"/>
      <c r="CT29" s="59"/>
      <c r="CU29" s="59"/>
      <c r="CV29" s="59"/>
      <c r="CW29" s="59"/>
      <c r="CX29" s="59"/>
    </row>
    <row r="30" spans="1:102" s="60" customFormat="1">
      <c r="A30" s="56" t="s">
        <v>81</v>
      </c>
      <c r="B30" s="57" t="s">
        <v>82</v>
      </c>
      <c r="C30" s="58"/>
      <c r="D30" s="58"/>
      <c r="E30" s="58"/>
      <c r="F30" s="58"/>
      <c r="G30" s="58"/>
      <c r="H30" s="58"/>
      <c r="I30" s="58"/>
      <c r="J30" s="58"/>
      <c r="K30" s="58"/>
      <c r="L30" s="58"/>
      <c r="M30" s="58"/>
      <c r="N30" s="58"/>
      <c r="O30" s="58"/>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M30" s="59"/>
      <c r="CN30" s="59"/>
      <c r="CO30" s="59"/>
      <c r="CP30" s="59"/>
      <c r="CQ30" s="59"/>
      <c r="CR30" s="59"/>
      <c r="CS30" s="59"/>
      <c r="CT30" s="59"/>
      <c r="CU30" s="59"/>
      <c r="CV30" s="59"/>
      <c r="CW30" s="59"/>
      <c r="CX30" s="59"/>
    </row>
    <row r="31" spans="1:102" s="60" customFormat="1" ht="18.600000000000001" customHeight="1">
      <c r="A31" s="52">
        <v>6</v>
      </c>
      <c r="B31" s="61" t="s">
        <v>83</v>
      </c>
      <c r="C31" s="54">
        <f>SUM(C33:C36)</f>
        <v>0</v>
      </c>
      <c r="D31" s="54">
        <f>SUM(D32:D36)</f>
        <v>0</v>
      </c>
      <c r="E31" s="54">
        <f>SUM(E33:E36)</f>
        <v>0</v>
      </c>
      <c r="F31" s="54">
        <f t="shared" ref="F31:N31" si="4">SUM(F33:F36)</f>
        <v>0</v>
      </c>
      <c r="G31" s="54">
        <f t="shared" si="4"/>
        <v>0</v>
      </c>
      <c r="H31" s="54">
        <f t="shared" si="4"/>
        <v>0</v>
      </c>
      <c r="I31" s="54">
        <f t="shared" si="4"/>
        <v>0</v>
      </c>
      <c r="J31" s="54">
        <f t="shared" si="4"/>
        <v>0</v>
      </c>
      <c r="K31" s="54">
        <f t="shared" si="4"/>
        <v>0</v>
      </c>
      <c r="L31" s="54">
        <f t="shared" si="4"/>
        <v>0</v>
      </c>
      <c r="M31" s="54">
        <f t="shared" si="4"/>
        <v>0</v>
      </c>
      <c r="N31" s="54">
        <f t="shared" si="4"/>
        <v>0</v>
      </c>
      <c r="O31" s="54">
        <f>SUM(C31:N31)</f>
        <v>0</v>
      </c>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M31" s="59"/>
      <c r="CN31" s="59"/>
      <c r="CO31" s="59"/>
      <c r="CP31" s="59"/>
      <c r="CQ31" s="59"/>
      <c r="CR31" s="59"/>
      <c r="CS31" s="59"/>
      <c r="CT31" s="59"/>
      <c r="CU31" s="59"/>
      <c r="CV31" s="59"/>
      <c r="CW31" s="59"/>
      <c r="CX31" s="59"/>
    </row>
    <row r="32" spans="1:102" s="60" customFormat="1">
      <c r="A32" s="56" t="s">
        <v>84</v>
      </c>
      <c r="B32" s="57" t="s">
        <v>85</v>
      </c>
      <c r="C32" s="58"/>
      <c r="D32" s="58"/>
      <c r="E32" s="58"/>
      <c r="F32" s="58"/>
      <c r="G32" s="58"/>
      <c r="H32" s="58"/>
      <c r="I32" s="58"/>
      <c r="J32" s="58"/>
      <c r="K32" s="58"/>
      <c r="L32" s="58"/>
      <c r="M32" s="58"/>
      <c r="N32" s="58"/>
      <c r="O32" s="58"/>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M32" s="59"/>
      <c r="CN32" s="59"/>
      <c r="CO32" s="59"/>
      <c r="CP32" s="59"/>
      <c r="CQ32" s="59"/>
      <c r="CR32" s="59"/>
      <c r="CS32" s="59"/>
      <c r="CT32" s="59"/>
      <c r="CU32" s="59"/>
      <c r="CV32" s="59"/>
      <c r="CW32" s="59"/>
      <c r="CX32" s="59"/>
    </row>
    <row r="33" spans="1:102" s="60" customFormat="1">
      <c r="A33" s="56" t="s">
        <v>86</v>
      </c>
      <c r="B33" s="57" t="s">
        <v>87</v>
      </c>
      <c r="C33" s="58"/>
      <c r="D33" s="58"/>
      <c r="E33" s="58"/>
      <c r="F33" s="58"/>
      <c r="G33" s="58"/>
      <c r="H33" s="58"/>
      <c r="I33" s="58"/>
      <c r="J33" s="58"/>
      <c r="K33" s="58"/>
      <c r="L33" s="58"/>
      <c r="M33" s="58"/>
      <c r="N33" s="58"/>
      <c r="O33" s="58"/>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59"/>
      <c r="CR33" s="59"/>
      <c r="CS33" s="59"/>
      <c r="CT33" s="59"/>
      <c r="CU33" s="59"/>
      <c r="CV33" s="59"/>
      <c r="CW33" s="59"/>
      <c r="CX33" s="59"/>
    </row>
    <row r="34" spans="1:102" s="60" customFormat="1">
      <c r="A34" s="56" t="s">
        <v>88</v>
      </c>
      <c r="B34" s="57" t="s">
        <v>89</v>
      </c>
      <c r="C34" s="58"/>
      <c r="D34" s="58"/>
      <c r="E34" s="58"/>
      <c r="F34" s="58"/>
      <c r="G34" s="58"/>
      <c r="H34" s="58"/>
      <c r="I34" s="58"/>
      <c r="J34" s="58"/>
      <c r="K34" s="58"/>
      <c r="L34" s="58"/>
      <c r="M34" s="58"/>
      <c r="N34" s="58"/>
      <c r="O34" s="58"/>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59"/>
      <c r="CR34" s="59"/>
      <c r="CS34" s="59"/>
      <c r="CT34" s="59"/>
      <c r="CU34" s="59"/>
      <c r="CV34" s="59"/>
      <c r="CW34" s="59"/>
      <c r="CX34" s="59"/>
    </row>
    <row r="35" spans="1:102" s="60" customFormat="1">
      <c r="A35" s="56" t="s">
        <v>90</v>
      </c>
      <c r="B35" s="57" t="s">
        <v>91</v>
      </c>
      <c r="C35" s="58"/>
      <c r="D35" s="58"/>
      <c r="E35" s="58"/>
      <c r="F35" s="58"/>
      <c r="G35" s="58"/>
      <c r="H35" s="58"/>
      <c r="I35" s="58"/>
      <c r="J35" s="58"/>
      <c r="K35" s="58"/>
      <c r="L35" s="58"/>
      <c r="M35" s="58"/>
      <c r="N35" s="58"/>
      <c r="O35" s="58"/>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59"/>
      <c r="CG35" s="59"/>
      <c r="CH35" s="59"/>
      <c r="CI35" s="59"/>
      <c r="CJ35" s="59"/>
      <c r="CK35" s="59"/>
      <c r="CL35" s="59"/>
      <c r="CM35" s="59"/>
      <c r="CN35" s="59"/>
      <c r="CO35" s="59"/>
      <c r="CP35" s="59"/>
      <c r="CQ35" s="59"/>
      <c r="CR35" s="59"/>
      <c r="CS35" s="59"/>
      <c r="CT35" s="59"/>
      <c r="CU35" s="59"/>
      <c r="CV35" s="59"/>
      <c r="CW35" s="59"/>
      <c r="CX35" s="59"/>
    </row>
    <row r="36" spans="1:102" s="60" customFormat="1">
      <c r="A36" s="62" t="s">
        <v>92</v>
      </c>
      <c r="B36" s="57" t="s">
        <v>93</v>
      </c>
      <c r="C36" s="58"/>
      <c r="D36" s="58"/>
      <c r="E36" s="58"/>
      <c r="F36" s="58"/>
      <c r="G36" s="58"/>
      <c r="H36" s="58"/>
      <c r="I36" s="58"/>
      <c r="J36" s="58"/>
      <c r="K36" s="58"/>
      <c r="L36" s="58"/>
      <c r="M36" s="58"/>
      <c r="N36" s="58"/>
      <c r="O36" s="58"/>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59"/>
      <c r="CG36" s="59"/>
      <c r="CH36" s="59"/>
      <c r="CI36" s="59"/>
      <c r="CJ36" s="59"/>
      <c r="CK36" s="59"/>
      <c r="CL36" s="59"/>
      <c r="CM36" s="59"/>
      <c r="CN36" s="59"/>
      <c r="CO36" s="59"/>
      <c r="CP36" s="59"/>
      <c r="CQ36" s="59"/>
      <c r="CR36" s="59"/>
      <c r="CS36" s="59"/>
      <c r="CT36" s="59"/>
      <c r="CU36" s="59"/>
      <c r="CV36" s="59"/>
      <c r="CW36" s="59"/>
      <c r="CX36" s="59"/>
    </row>
    <row r="37" spans="1:102" ht="17.399999999999999" customHeight="1">
      <c r="A37" s="52">
        <v>7</v>
      </c>
      <c r="B37" s="61" t="s">
        <v>94</v>
      </c>
      <c r="C37" s="63">
        <f>SUM(C38:C40)</f>
        <v>0</v>
      </c>
      <c r="D37" s="63">
        <f>SUM(D38:D40)</f>
        <v>0</v>
      </c>
      <c r="E37" s="63">
        <f>SUM(E38:E40)</f>
        <v>0</v>
      </c>
      <c r="F37" s="63">
        <f t="shared" ref="F37:N37" si="5">SUM(F38:F40)</f>
        <v>0</v>
      </c>
      <c r="G37" s="63">
        <f t="shared" si="5"/>
        <v>0</v>
      </c>
      <c r="H37" s="63">
        <f t="shared" si="5"/>
        <v>0</v>
      </c>
      <c r="I37" s="63">
        <f t="shared" si="5"/>
        <v>0</v>
      </c>
      <c r="J37" s="63">
        <f t="shared" si="5"/>
        <v>0</v>
      </c>
      <c r="K37" s="63">
        <f t="shared" si="5"/>
        <v>0</v>
      </c>
      <c r="L37" s="63">
        <f t="shared" si="5"/>
        <v>0</v>
      </c>
      <c r="M37" s="63">
        <f t="shared" si="5"/>
        <v>0</v>
      </c>
      <c r="N37" s="63">
        <f t="shared" si="5"/>
        <v>0</v>
      </c>
      <c r="O37" s="54">
        <f>SUM(C37:N37)</f>
        <v>0</v>
      </c>
    </row>
    <row r="38" spans="1:102">
      <c r="A38" s="56" t="s">
        <v>95</v>
      </c>
      <c r="B38" s="57" t="s">
        <v>96</v>
      </c>
      <c r="C38" s="64"/>
      <c r="D38" s="58"/>
      <c r="E38" s="64"/>
      <c r="F38" s="64"/>
      <c r="G38" s="64"/>
      <c r="H38" s="64"/>
      <c r="I38" s="64"/>
      <c r="J38" s="64"/>
      <c r="K38" s="64"/>
      <c r="L38" s="64"/>
      <c r="M38" s="64"/>
      <c r="N38" s="64"/>
      <c r="O38" s="64"/>
    </row>
    <row r="39" spans="1:102">
      <c r="A39" s="56" t="s">
        <v>97</v>
      </c>
      <c r="B39" s="57" t="s">
        <v>98</v>
      </c>
      <c r="C39" s="64"/>
      <c r="D39" s="58"/>
      <c r="E39" s="64"/>
      <c r="F39" s="64"/>
      <c r="G39" s="64"/>
      <c r="H39" s="64"/>
      <c r="I39" s="64"/>
      <c r="J39" s="64"/>
      <c r="K39" s="64"/>
      <c r="L39" s="64"/>
      <c r="M39" s="64"/>
      <c r="N39" s="64"/>
      <c r="O39" s="64"/>
    </row>
    <row r="40" spans="1:102">
      <c r="A40" s="56" t="s">
        <v>99</v>
      </c>
      <c r="B40" s="57" t="s">
        <v>100</v>
      </c>
      <c r="C40" s="64"/>
      <c r="D40" s="58"/>
      <c r="E40" s="64"/>
      <c r="F40" s="64"/>
      <c r="G40" s="64"/>
      <c r="H40" s="64"/>
      <c r="I40" s="64"/>
      <c r="J40" s="64"/>
      <c r="K40" s="64"/>
      <c r="L40" s="64"/>
      <c r="M40" s="64"/>
      <c r="N40" s="64"/>
      <c r="O40" s="64"/>
    </row>
    <row r="41" spans="1:102">
      <c r="A41" s="52">
        <v>8</v>
      </c>
      <c r="B41" s="53" t="s">
        <v>101</v>
      </c>
      <c r="C41" s="54">
        <v>0</v>
      </c>
      <c r="D41" s="54">
        <v>0</v>
      </c>
      <c r="E41" s="54">
        <v>0</v>
      </c>
      <c r="F41" s="54">
        <v>0</v>
      </c>
      <c r="G41" s="54">
        <v>0</v>
      </c>
      <c r="H41" s="54">
        <v>0</v>
      </c>
      <c r="I41" s="54">
        <v>0</v>
      </c>
      <c r="J41" s="54">
        <v>0</v>
      </c>
      <c r="K41" s="54">
        <v>0</v>
      </c>
      <c r="L41" s="54">
        <v>0</v>
      </c>
      <c r="M41" s="54">
        <v>0</v>
      </c>
      <c r="N41" s="54">
        <v>0</v>
      </c>
      <c r="O41" s="54">
        <f>SUM(C41:N41)</f>
        <v>0</v>
      </c>
    </row>
    <row r="42" spans="1:102" s="67" customFormat="1">
      <c r="A42" s="139" t="s">
        <v>102</v>
      </c>
      <c r="B42" s="139"/>
      <c r="C42" s="65">
        <f>ROUND(SUM(C6,C7,C16,C25,C28,C31,C37),0)</f>
        <v>0</v>
      </c>
      <c r="D42" s="65">
        <f>ROUND(SUM(D6,D7,D16,D25,D28,D31,D37,D41),0)</f>
        <v>0</v>
      </c>
      <c r="E42" s="65">
        <f>ROUND(SUM(E6,E7,E16,E25,E28,E31,E37),0)</f>
        <v>0</v>
      </c>
      <c r="F42" s="65">
        <f t="shared" ref="F42:N42" si="6">ROUND(SUM(F6,F7,F16,F25,F28,F31,F37),0)</f>
        <v>0</v>
      </c>
      <c r="G42" s="65">
        <f t="shared" si="6"/>
        <v>0</v>
      </c>
      <c r="H42" s="65">
        <f t="shared" si="6"/>
        <v>0</v>
      </c>
      <c r="I42" s="65">
        <f t="shared" si="6"/>
        <v>0</v>
      </c>
      <c r="J42" s="65">
        <f t="shared" si="6"/>
        <v>0</v>
      </c>
      <c r="K42" s="65">
        <f t="shared" si="6"/>
        <v>0</v>
      </c>
      <c r="L42" s="65">
        <f t="shared" si="6"/>
        <v>0</v>
      </c>
      <c r="M42" s="65">
        <f t="shared" si="6"/>
        <v>0</v>
      </c>
      <c r="N42" s="65">
        <f t="shared" si="6"/>
        <v>0</v>
      </c>
      <c r="O42" s="65">
        <f>ROUND(SUM(O6,O7,O16,O25,O28,O31,O37),0)</f>
        <v>0</v>
      </c>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c r="CD42" s="66"/>
      <c r="CE42" s="66"/>
      <c r="CF42" s="66"/>
      <c r="CG42" s="66"/>
      <c r="CH42" s="66"/>
      <c r="CI42" s="66"/>
      <c r="CJ42" s="66"/>
      <c r="CK42" s="66"/>
      <c r="CL42" s="66"/>
      <c r="CM42" s="66"/>
      <c r="CN42" s="66"/>
      <c r="CO42" s="66"/>
      <c r="CP42" s="66"/>
      <c r="CQ42" s="66"/>
      <c r="CR42" s="66"/>
      <c r="CS42" s="66"/>
      <c r="CT42" s="66"/>
      <c r="CU42" s="66"/>
      <c r="CV42" s="66"/>
      <c r="CW42" s="66"/>
      <c r="CX42" s="66"/>
    </row>
    <row r="43" spans="1:102">
      <c r="D43" s="68"/>
    </row>
    <row r="46" spans="1:102" ht="17.25" customHeight="1">
      <c r="B46" s="69" t="s">
        <v>103</v>
      </c>
      <c r="C46" s="69"/>
      <c r="D46" s="69"/>
      <c r="E46" s="69"/>
    </row>
  </sheetData>
  <mergeCells count="2">
    <mergeCell ref="A2:E2"/>
    <mergeCell ref="A42:B42"/>
  </mergeCells>
  <pageMargins left="0.19685039370078741" right="0.19685039370078741" top="0.39370078740157483" bottom="0.39370078740157483" header="0.51181102362204722" footer="0.51181102362204722"/>
  <pageSetup paperSize="9" scale="76"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2"/>
  <sheetViews>
    <sheetView zoomScale="85" zoomScaleNormal="85" workbookViewId="0">
      <selection activeCell="K15" sqref="K15"/>
    </sheetView>
  </sheetViews>
  <sheetFormatPr defaultColWidth="9.109375" defaultRowHeight="13.8"/>
  <cols>
    <col min="1" max="1" width="41.44140625" style="76" customWidth="1"/>
    <col min="2" max="5" width="26" style="76" customWidth="1"/>
    <col min="6" max="6" width="22.109375" style="77" customWidth="1"/>
    <col min="7" max="16384" width="9.109375" style="76"/>
  </cols>
  <sheetData>
    <row r="1" spans="1:6">
      <c r="A1" s="142" t="s">
        <v>137</v>
      </c>
      <c r="B1" s="143"/>
      <c r="C1" s="143"/>
      <c r="D1" s="143"/>
      <c r="E1" s="143"/>
      <c r="F1" s="143"/>
    </row>
    <row r="2" spans="1:6" ht="14.4">
      <c r="A2" s="140" t="s">
        <v>183</v>
      </c>
      <c r="B2" s="141"/>
      <c r="C2" s="141"/>
      <c r="D2" s="141"/>
      <c r="E2" s="141"/>
      <c r="F2" s="141"/>
    </row>
    <row r="3" spans="1:6">
      <c r="A3" s="21"/>
      <c r="B3" s="22" t="s">
        <v>128</v>
      </c>
      <c r="C3" s="22" t="s">
        <v>128</v>
      </c>
      <c r="D3" s="22" t="s">
        <v>128</v>
      </c>
      <c r="E3" s="22" t="s">
        <v>128</v>
      </c>
      <c r="F3" s="23" t="s">
        <v>127</v>
      </c>
    </row>
    <row r="4" spans="1:6">
      <c r="A4" s="21"/>
      <c r="B4" s="16" t="s">
        <v>133</v>
      </c>
      <c r="C4" s="16" t="s">
        <v>134</v>
      </c>
      <c r="D4" s="16" t="s">
        <v>135</v>
      </c>
      <c r="E4" s="16" t="s">
        <v>136</v>
      </c>
      <c r="F4" s="24"/>
    </row>
    <row r="5" spans="1:6">
      <c r="A5" s="14" t="s">
        <v>112</v>
      </c>
      <c r="B5" s="16">
        <f>B6+B11+B12</f>
        <v>0</v>
      </c>
      <c r="C5" s="16">
        <f>C6+C11+C12</f>
        <v>0</v>
      </c>
      <c r="D5" s="16">
        <f>D6+D11+D12</f>
        <v>0</v>
      </c>
      <c r="E5" s="16">
        <f>E6+E11+E12</f>
        <v>0</v>
      </c>
      <c r="F5" s="24">
        <f>F6+F11+F12</f>
        <v>196437772.99999961</v>
      </c>
    </row>
    <row r="6" spans="1:6">
      <c r="A6" s="25" t="s">
        <v>113</v>
      </c>
      <c r="B6" s="15"/>
      <c r="C6" s="15"/>
      <c r="D6" s="15"/>
      <c r="E6" s="15"/>
      <c r="F6" s="25">
        <v>164607078.47254199</v>
      </c>
    </row>
    <row r="7" spans="1:6">
      <c r="A7" s="25" t="s">
        <v>126</v>
      </c>
      <c r="B7" s="20"/>
      <c r="C7" s="20"/>
      <c r="D7" s="20"/>
      <c r="E7" s="20"/>
      <c r="F7" s="26">
        <v>0.7055625485</v>
      </c>
    </row>
    <row r="8" spans="1:6">
      <c r="A8" s="25" t="s">
        <v>147</v>
      </c>
      <c r="B8" s="15"/>
      <c r="C8" s="15"/>
      <c r="D8" s="15"/>
      <c r="E8" s="15"/>
      <c r="F8" s="25">
        <v>4438.7187742730839</v>
      </c>
    </row>
    <row r="9" spans="1:6">
      <c r="A9" s="25" t="s">
        <v>114</v>
      </c>
      <c r="B9" s="15"/>
      <c r="C9" s="15"/>
      <c r="D9" s="15"/>
      <c r="E9" s="15"/>
      <c r="F9" s="25">
        <v>365</v>
      </c>
    </row>
    <row r="10" spans="1:6">
      <c r="A10" s="25" t="s">
        <v>115</v>
      </c>
      <c r="B10" s="15"/>
      <c r="C10" s="15"/>
      <c r="D10" s="15"/>
      <c r="E10" s="15"/>
      <c r="F10" s="25">
        <v>144</v>
      </c>
    </row>
    <row r="11" spans="1:6" ht="27.6">
      <c r="A11" s="25" t="s">
        <v>129</v>
      </c>
      <c r="B11" s="15"/>
      <c r="C11" s="15"/>
      <c r="D11" s="15"/>
      <c r="E11" s="15"/>
      <c r="F11" s="25">
        <v>31430043.680000007</v>
      </c>
    </row>
    <row r="12" spans="1:6" ht="27.6">
      <c r="A12" s="25" t="s">
        <v>131</v>
      </c>
      <c r="B12" s="15"/>
      <c r="C12" s="15"/>
      <c r="D12" s="15"/>
      <c r="E12" s="15"/>
      <c r="F12" s="25">
        <v>400650.84745762713</v>
      </c>
    </row>
    <row r="13" spans="1:6">
      <c r="A13" s="14" t="s">
        <v>116</v>
      </c>
      <c r="B13" s="16">
        <f>SUM(B14:B27)</f>
        <v>0</v>
      </c>
      <c r="C13" s="16">
        <f>SUM(C14:C27)</f>
        <v>0</v>
      </c>
      <c r="D13" s="16">
        <f>SUM(D14:D27)</f>
        <v>0</v>
      </c>
      <c r="E13" s="16">
        <f>SUM(E14:E27)</f>
        <v>0</v>
      </c>
      <c r="F13" s="27">
        <f>SUM(F14:F27)</f>
        <v>134160454.10169499</v>
      </c>
    </row>
    <row r="14" spans="1:6">
      <c r="A14" s="79" t="s">
        <v>117</v>
      </c>
      <c r="B14" s="17"/>
      <c r="C14" s="17"/>
      <c r="D14" s="17"/>
      <c r="E14" s="17"/>
      <c r="F14" s="28">
        <v>12839427.1186441</v>
      </c>
    </row>
    <row r="15" spans="1:6" ht="27.6">
      <c r="A15" s="79" t="s">
        <v>146</v>
      </c>
      <c r="B15" s="17"/>
      <c r="C15" s="17"/>
      <c r="D15" s="17"/>
      <c r="E15" s="17"/>
      <c r="F15" s="28">
        <v>11787692.372881399</v>
      </c>
    </row>
    <row r="16" spans="1:6">
      <c r="A16" s="79" t="s">
        <v>130</v>
      </c>
      <c r="B16" s="17"/>
      <c r="C16" s="17"/>
      <c r="D16" s="17"/>
      <c r="E16" s="17"/>
      <c r="F16" s="28"/>
    </row>
    <row r="17" spans="1:6" ht="110.4">
      <c r="A17" s="79" t="s">
        <v>118</v>
      </c>
      <c r="B17" s="17"/>
      <c r="C17" s="17"/>
      <c r="D17" s="17"/>
      <c r="E17" s="17"/>
      <c r="F17" s="28">
        <v>70874588</v>
      </c>
    </row>
    <row r="18" spans="1:6" ht="69">
      <c r="A18" s="79" t="s">
        <v>119</v>
      </c>
      <c r="B18" s="17"/>
      <c r="C18" s="17"/>
      <c r="D18" s="17"/>
      <c r="E18" s="17"/>
      <c r="F18" s="28">
        <v>1193362.71186441</v>
      </c>
    </row>
    <row r="19" spans="1:6" ht="76.5" customHeight="1">
      <c r="A19" s="79" t="s">
        <v>120</v>
      </c>
      <c r="B19" s="17"/>
      <c r="C19" s="17"/>
      <c r="D19" s="17"/>
      <c r="E19" s="17"/>
      <c r="F19" s="28">
        <v>3000000</v>
      </c>
    </row>
    <row r="20" spans="1:6">
      <c r="A20" s="79" t="s">
        <v>132</v>
      </c>
      <c r="B20" s="17"/>
      <c r="C20" s="17"/>
      <c r="D20" s="17"/>
      <c r="E20" s="17"/>
      <c r="F20" s="28"/>
    </row>
    <row r="21" spans="1:6">
      <c r="A21" s="79" t="s">
        <v>121</v>
      </c>
      <c r="B21" s="17"/>
      <c r="C21" s="17"/>
      <c r="D21" s="17"/>
      <c r="E21" s="17"/>
      <c r="F21" s="28">
        <v>1335383.8983050799</v>
      </c>
    </row>
    <row r="22" spans="1:6">
      <c r="A22" s="79" t="s">
        <v>98</v>
      </c>
      <c r="B22" s="17"/>
      <c r="C22" s="17"/>
      <c r="D22" s="17"/>
      <c r="E22" s="17"/>
      <c r="F22" s="28">
        <v>30000000</v>
      </c>
    </row>
    <row r="23" spans="1:6">
      <c r="A23" s="79" t="s">
        <v>122</v>
      </c>
      <c r="B23" s="17"/>
      <c r="C23" s="17"/>
      <c r="D23" s="17"/>
      <c r="E23" s="17"/>
      <c r="F23" s="28">
        <v>3000000</v>
      </c>
    </row>
    <row r="24" spans="1:6" ht="41.4">
      <c r="A24" s="79" t="s">
        <v>123</v>
      </c>
      <c r="B24" s="17"/>
      <c r="C24" s="17"/>
      <c r="D24" s="17"/>
      <c r="E24" s="17"/>
      <c r="F24" s="28">
        <v>100000</v>
      </c>
    </row>
    <row r="25" spans="1:6" ht="27.6">
      <c r="A25" s="79" t="s">
        <v>143</v>
      </c>
      <c r="B25" s="17"/>
      <c r="C25" s="17"/>
      <c r="D25" s="17"/>
      <c r="E25" s="17"/>
      <c r="F25" s="28">
        <v>10000</v>
      </c>
    </row>
    <row r="26" spans="1:6">
      <c r="A26" s="79" t="s">
        <v>144</v>
      </c>
      <c r="B26" s="17"/>
      <c r="C26" s="17"/>
      <c r="D26" s="17"/>
      <c r="E26" s="17"/>
      <c r="F26" s="28">
        <v>10000</v>
      </c>
    </row>
    <row r="27" spans="1:6" ht="31.5" customHeight="1">
      <c r="A27" s="79" t="s">
        <v>145</v>
      </c>
      <c r="B27" s="17"/>
      <c r="C27" s="17"/>
      <c r="D27" s="17"/>
      <c r="E27" s="17"/>
      <c r="F27" s="28">
        <v>10000</v>
      </c>
    </row>
    <row r="28" spans="1:6">
      <c r="A28" s="14" t="s">
        <v>124</v>
      </c>
      <c r="B28" s="16">
        <f>B5-B13</f>
        <v>0</v>
      </c>
      <c r="C28" s="16">
        <f>C5-C13</f>
        <v>0</v>
      </c>
      <c r="D28" s="16">
        <f>D5-D13</f>
        <v>0</v>
      </c>
      <c r="E28" s="16">
        <f>E5-E13</f>
        <v>0</v>
      </c>
      <c r="F28" s="27">
        <f>F5-F13</f>
        <v>62277318.898304626</v>
      </c>
    </row>
    <row r="29" spans="1:6">
      <c r="A29" s="14" t="s">
        <v>125</v>
      </c>
      <c r="B29" s="16"/>
      <c r="C29" s="16"/>
      <c r="D29" s="16"/>
      <c r="E29" s="16"/>
      <c r="F29" s="29">
        <f>F28/F5</f>
        <v>0.31703331771280441</v>
      </c>
    </row>
    <row r="30" spans="1:6">
      <c r="A30" s="18"/>
      <c r="B30" s="19"/>
      <c r="C30" s="19"/>
      <c r="D30" s="19"/>
      <c r="E30" s="19"/>
    </row>
    <row r="32" spans="1:6">
      <c r="A32" s="78" t="s">
        <v>148</v>
      </c>
    </row>
  </sheetData>
  <mergeCells count="2">
    <mergeCell ref="A2:F2"/>
    <mergeCell ref="A1:F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НДИ</vt:lpstr>
      <vt:lpstr>ДИ</vt:lpstr>
      <vt:lpstr>ТМЦ</vt:lpstr>
      <vt:lpstr>Доли_акции_бизнес_ИК</vt:lpstr>
      <vt:lpstr>Арендный план</vt:lpstr>
      <vt:lpstr>Расходы</vt:lpstr>
      <vt:lpstr>Данные по гостинице</vt:lpstr>
    </vt:vector>
  </TitlesOfParts>
  <Company>Сбербанк России</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smolin-dn</dc:creator>
  <cp:lastModifiedBy>_</cp:lastModifiedBy>
  <cp:lastPrinted>2016-02-18T08:39:22Z</cp:lastPrinted>
  <dcterms:created xsi:type="dcterms:W3CDTF">2013-09-10T10:45:09Z</dcterms:created>
  <dcterms:modified xsi:type="dcterms:W3CDTF">2025-11-25T08:31:54Z</dcterms:modified>
</cp:coreProperties>
</file>